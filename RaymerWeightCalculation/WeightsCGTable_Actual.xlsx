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ke\Documents\MATLAB\Senior Design PDR_Local\"/>
    </mc:Choice>
  </mc:AlternateContent>
  <xr:revisionPtr revIDLastSave="0" documentId="13_ncr:1_{1BFE138F-98C5-4824-9C03-2D048F7DA125}" xr6:coauthVersionLast="47" xr6:coauthVersionMax="47" xr10:uidLastSave="{00000000-0000-0000-0000-000000000000}"/>
  <bookViews>
    <workbookView xWindow="-108" yWindow="-108" windowWidth="23256" windowHeight="13896" xr2:uid="{DF986BFB-54E5-471B-9899-FA63411BD4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F78" i="1"/>
  <c r="F79" i="1"/>
  <c r="F80" i="1"/>
  <c r="L80" i="1" s="1"/>
  <c r="F81" i="1"/>
  <c r="F82" i="1"/>
  <c r="E82" i="1" s="1"/>
  <c r="K82" i="1" s="1"/>
  <c r="F83" i="1"/>
  <c r="L83" i="1" s="1"/>
  <c r="F84" i="1"/>
  <c r="F85" i="1"/>
  <c r="L85" i="1" s="1"/>
  <c r="F86" i="1"/>
  <c r="F77" i="1"/>
  <c r="C83" i="1"/>
  <c r="C84" i="1"/>
  <c r="C85" i="1"/>
  <c r="C86" i="1"/>
  <c r="C82" i="1"/>
  <c r="P86" i="1"/>
  <c r="O86" i="1"/>
  <c r="N86" i="1"/>
  <c r="M86" i="1"/>
  <c r="L86" i="1"/>
  <c r="K86" i="1"/>
  <c r="P85" i="1"/>
  <c r="O85" i="1"/>
  <c r="N85" i="1"/>
  <c r="M85" i="1"/>
  <c r="K85" i="1"/>
  <c r="P84" i="1"/>
  <c r="O84" i="1"/>
  <c r="N84" i="1"/>
  <c r="M84" i="1"/>
  <c r="L84" i="1"/>
  <c r="E84" i="1"/>
  <c r="K84" i="1" s="1"/>
  <c r="P83" i="1"/>
  <c r="O83" i="1"/>
  <c r="N83" i="1"/>
  <c r="M83" i="1"/>
  <c r="E83" i="1"/>
  <c r="K83" i="1" s="1"/>
  <c r="P82" i="1"/>
  <c r="O82" i="1"/>
  <c r="N82" i="1"/>
  <c r="M82" i="1"/>
  <c r="L82" i="1"/>
  <c r="K90" i="1"/>
  <c r="L90" i="1"/>
  <c r="M90" i="1"/>
  <c r="K87" i="1"/>
  <c r="L87" i="1"/>
  <c r="M87" i="1"/>
  <c r="K88" i="1"/>
  <c r="L88" i="1"/>
  <c r="M88" i="1"/>
  <c r="K89" i="1"/>
  <c r="L89" i="1"/>
  <c r="M89" i="1"/>
  <c r="N89" i="1"/>
  <c r="O89" i="1"/>
  <c r="P89" i="1"/>
  <c r="N90" i="1"/>
  <c r="O90" i="1"/>
  <c r="P90" i="1"/>
  <c r="N88" i="1"/>
  <c r="P88" i="1"/>
  <c r="O88" i="1"/>
  <c r="P87" i="1"/>
  <c r="O87" i="1"/>
  <c r="N87" i="1"/>
  <c r="D90" i="1"/>
  <c r="D88" i="1"/>
  <c r="D89" i="1"/>
  <c r="D87" i="1"/>
  <c r="C76" i="1"/>
  <c r="C81" i="1" s="1"/>
  <c r="C73" i="1"/>
  <c r="C78" i="1" s="1"/>
  <c r="C74" i="1"/>
  <c r="C79" i="1" s="1"/>
  <c r="C75" i="1"/>
  <c r="C80" i="1" s="1"/>
  <c r="C72" i="1"/>
  <c r="C77" i="1" s="1"/>
  <c r="C94" i="1" s="1"/>
  <c r="P81" i="1"/>
  <c r="O81" i="1"/>
  <c r="N81" i="1"/>
  <c r="M81" i="1"/>
  <c r="K81" i="1"/>
  <c r="L81" i="1"/>
  <c r="P80" i="1"/>
  <c r="O80" i="1"/>
  <c r="N80" i="1"/>
  <c r="M80" i="1"/>
  <c r="K80" i="1"/>
  <c r="P79" i="1"/>
  <c r="O79" i="1"/>
  <c r="N79" i="1"/>
  <c r="M79" i="1"/>
  <c r="L79" i="1"/>
  <c r="E79" i="1"/>
  <c r="K79" i="1" s="1"/>
  <c r="P78" i="1"/>
  <c r="O78" i="1"/>
  <c r="N78" i="1"/>
  <c r="M78" i="1"/>
  <c r="L78" i="1"/>
  <c r="E78" i="1"/>
  <c r="K78" i="1" s="1"/>
  <c r="P77" i="1"/>
  <c r="O77" i="1"/>
  <c r="N77" i="1"/>
  <c r="M77" i="1"/>
  <c r="L77" i="1"/>
  <c r="E77" i="1"/>
  <c r="K77" i="1" s="1"/>
  <c r="P26" i="1"/>
  <c r="O26" i="1"/>
  <c r="N26" i="1"/>
  <c r="M26" i="1"/>
  <c r="L26" i="1"/>
  <c r="K26" i="1"/>
  <c r="D26" i="1"/>
  <c r="P25" i="1"/>
  <c r="O25" i="1"/>
  <c r="N25" i="1"/>
  <c r="M25" i="1"/>
  <c r="L25" i="1"/>
  <c r="K25" i="1"/>
  <c r="D25" i="1"/>
  <c r="K21" i="1"/>
  <c r="L21" i="1"/>
  <c r="M21" i="1"/>
  <c r="N21" i="1"/>
  <c r="O21" i="1"/>
  <c r="P21" i="1"/>
  <c r="K22" i="1"/>
  <c r="L22" i="1"/>
  <c r="M22" i="1"/>
  <c r="N22" i="1"/>
  <c r="O22" i="1"/>
  <c r="P22" i="1"/>
  <c r="K23" i="1"/>
  <c r="L23" i="1"/>
  <c r="M23" i="1"/>
  <c r="N23" i="1"/>
  <c r="O23" i="1"/>
  <c r="P23" i="1"/>
  <c r="K24" i="1"/>
  <c r="L24" i="1"/>
  <c r="M24" i="1"/>
  <c r="N24" i="1"/>
  <c r="O24" i="1"/>
  <c r="P24" i="1"/>
  <c r="K27" i="1"/>
  <c r="L27" i="1"/>
  <c r="M27" i="1"/>
  <c r="N27" i="1"/>
  <c r="O27" i="1"/>
  <c r="P27" i="1"/>
  <c r="K28" i="1"/>
  <c r="L28" i="1"/>
  <c r="M28" i="1"/>
  <c r="N28" i="1"/>
  <c r="O28" i="1"/>
  <c r="P28" i="1"/>
  <c r="D21" i="1"/>
  <c r="D22" i="1"/>
  <c r="D23" i="1"/>
  <c r="D24" i="1"/>
  <c r="D27" i="1"/>
  <c r="D28" i="1"/>
  <c r="K59" i="1"/>
  <c r="L59" i="1"/>
  <c r="M59" i="1"/>
  <c r="N59" i="1"/>
  <c r="O59" i="1"/>
  <c r="P59" i="1"/>
  <c r="D59" i="1"/>
  <c r="P58" i="1"/>
  <c r="O58" i="1"/>
  <c r="D58" i="1"/>
  <c r="K58" i="1"/>
  <c r="N58" i="1"/>
  <c r="M58" i="1"/>
  <c r="L58" i="1"/>
  <c r="P20" i="1"/>
  <c r="O20" i="1"/>
  <c r="N20" i="1"/>
  <c r="M20" i="1"/>
  <c r="L20" i="1"/>
  <c r="K20" i="1"/>
  <c r="D20" i="1"/>
  <c r="P17" i="1"/>
  <c r="O17" i="1"/>
  <c r="N17" i="1"/>
  <c r="M17" i="1"/>
  <c r="L17" i="1"/>
  <c r="K17" i="1"/>
  <c r="D17" i="1"/>
  <c r="K75" i="1"/>
  <c r="M75" i="1"/>
  <c r="N75" i="1"/>
  <c r="O75" i="1"/>
  <c r="P75" i="1"/>
  <c r="K76" i="1"/>
  <c r="M76" i="1"/>
  <c r="N76" i="1"/>
  <c r="O76" i="1"/>
  <c r="P76" i="1"/>
  <c r="F76" i="1"/>
  <c r="L76" i="1" s="1"/>
  <c r="F75" i="1"/>
  <c r="L75" i="1" s="1"/>
  <c r="L71" i="1"/>
  <c r="M71" i="1"/>
  <c r="N71" i="1"/>
  <c r="O71" i="1"/>
  <c r="P71" i="1"/>
  <c r="L72" i="1"/>
  <c r="M72" i="1"/>
  <c r="N72" i="1"/>
  <c r="O72" i="1"/>
  <c r="P72" i="1"/>
  <c r="L73" i="1"/>
  <c r="M73" i="1"/>
  <c r="N73" i="1"/>
  <c r="O73" i="1"/>
  <c r="P73" i="1"/>
  <c r="L74" i="1"/>
  <c r="M74" i="1"/>
  <c r="N74" i="1"/>
  <c r="O74" i="1"/>
  <c r="P74" i="1"/>
  <c r="E73" i="1"/>
  <c r="K73" i="1" s="1"/>
  <c r="E74" i="1"/>
  <c r="K74" i="1" s="1"/>
  <c r="E72" i="1"/>
  <c r="K72" i="1" s="1"/>
  <c r="C93" i="1" l="1"/>
  <c r="P56" i="1"/>
  <c r="O56" i="1"/>
  <c r="N56" i="1"/>
  <c r="M56" i="1"/>
  <c r="L56" i="1"/>
  <c r="K56" i="1"/>
  <c r="D56" i="1"/>
  <c r="P47" i="1"/>
  <c r="O47" i="1"/>
  <c r="N47" i="1"/>
  <c r="M47" i="1"/>
  <c r="L47" i="1"/>
  <c r="K47" i="1"/>
  <c r="D47" i="1"/>
  <c r="P46" i="1"/>
  <c r="O46" i="1"/>
  <c r="N46" i="1"/>
  <c r="M46" i="1"/>
  <c r="L46" i="1"/>
  <c r="K46" i="1"/>
  <c r="D46" i="1"/>
  <c r="P45" i="1"/>
  <c r="O45" i="1"/>
  <c r="N45" i="1"/>
  <c r="M45" i="1"/>
  <c r="L45" i="1"/>
  <c r="K45" i="1"/>
  <c r="D45" i="1"/>
  <c r="P44" i="1"/>
  <c r="O44" i="1"/>
  <c r="N44" i="1"/>
  <c r="M44" i="1"/>
  <c r="L44" i="1"/>
  <c r="K44" i="1"/>
  <c r="D44" i="1"/>
  <c r="P43" i="1"/>
  <c r="O43" i="1"/>
  <c r="N43" i="1"/>
  <c r="M43" i="1"/>
  <c r="L43" i="1"/>
  <c r="K43" i="1"/>
  <c r="D43" i="1"/>
  <c r="P50" i="1"/>
  <c r="O50" i="1"/>
  <c r="N50" i="1"/>
  <c r="M50" i="1"/>
  <c r="L50" i="1"/>
  <c r="K50" i="1"/>
  <c r="D50" i="1"/>
  <c r="P49" i="1"/>
  <c r="O49" i="1"/>
  <c r="N49" i="1"/>
  <c r="M49" i="1"/>
  <c r="L49" i="1"/>
  <c r="K49" i="1"/>
  <c r="D49" i="1"/>
  <c r="P48" i="1"/>
  <c r="O48" i="1"/>
  <c r="N48" i="1"/>
  <c r="M48" i="1"/>
  <c r="L48" i="1"/>
  <c r="K48" i="1"/>
  <c r="D48" i="1"/>
  <c r="L4" i="1"/>
  <c r="M4" i="1"/>
  <c r="N4" i="1"/>
  <c r="O4" i="1"/>
  <c r="P4" i="1"/>
  <c r="K4" i="1"/>
  <c r="D53" i="1"/>
  <c r="D54" i="1"/>
  <c r="D55" i="1"/>
  <c r="D57" i="1"/>
  <c r="D60" i="1"/>
  <c r="D61" i="1"/>
  <c r="D62" i="1"/>
  <c r="D63" i="1"/>
  <c r="D64" i="1"/>
  <c r="D65" i="1"/>
  <c r="D66" i="1"/>
  <c r="D67" i="1"/>
  <c r="D68" i="1"/>
  <c r="D69" i="1"/>
  <c r="D70" i="1"/>
  <c r="D71" i="1"/>
  <c r="P53" i="1"/>
  <c r="O53" i="1"/>
  <c r="N53" i="1"/>
  <c r="M53" i="1"/>
  <c r="L53" i="1"/>
  <c r="K53" i="1"/>
  <c r="D13" i="1"/>
  <c r="P7" i="1"/>
  <c r="O7" i="1"/>
  <c r="N7" i="1"/>
  <c r="M7" i="1"/>
  <c r="L7" i="1"/>
  <c r="K7" i="1"/>
  <c r="D7" i="1"/>
  <c r="P8" i="1"/>
  <c r="O8" i="1"/>
  <c r="N8" i="1"/>
  <c r="M8" i="1"/>
  <c r="L8" i="1"/>
  <c r="K8" i="1"/>
  <c r="D8" i="1"/>
  <c r="P16" i="1"/>
  <c r="O16" i="1"/>
  <c r="N16" i="1"/>
  <c r="M16" i="1"/>
  <c r="L16" i="1"/>
  <c r="K16" i="1"/>
  <c r="D16" i="1"/>
  <c r="P15" i="1"/>
  <c r="O15" i="1"/>
  <c r="N15" i="1"/>
  <c r="M15" i="1"/>
  <c r="L15" i="1"/>
  <c r="K15" i="1"/>
  <c r="D15" i="1"/>
  <c r="P18" i="1"/>
  <c r="O18" i="1"/>
  <c r="N18" i="1"/>
  <c r="M18" i="1"/>
  <c r="L18" i="1"/>
  <c r="K18" i="1"/>
  <c r="D18" i="1"/>
  <c r="O60" i="1"/>
  <c r="K5" i="1"/>
  <c r="L5" i="1"/>
  <c r="M5" i="1"/>
  <c r="N5" i="1"/>
  <c r="O5" i="1"/>
  <c r="P5" i="1"/>
  <c r="K6" i="1"/>
  <c r="L6" i="1"/>
  <c r="M6" i="1"/>
  <c r="N6" i="1"/>
  <c r="O6" i="1"/>
  <c r="P6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K14" i="1"/>
  <c r="L14" i="1"/>
  <c r="M14" i="1"/>
  <c r="N14" i="1"/>
  <c r="O14" i="1"/>
  <c r="P14" i="1"/>
  <c r="K19" i="1"/>
  <c r="L19" i="1"/>
  <c r="M19" i="1"/>
  <c r="N19" i="1"/>
  <c r="O19" i="1"/>
  <c r="P19" i="1"/>
  <c r="K29" i="1"/>
  <c r="L29" i="1"/>
  <c r="M29" i="1"/>
  <c r="N29" i="1"/>
  <c r="O29" i="1"/>
  <c r="P29" i="1"/>
  <c r="K30" i="1"/>
  <c r="L30" i="1"/>
  <c r="M30" i="1"/>
  <c r="N30" i="1"/>
  <c r="O30" i="1"/>
  <c r="P30" i="1"/>
  <c r="K31" i="1"/>
  <c r="L31" i="1"/>
  <c r="M31" i="1"/>
  <c r="N31" i="1"/>
  <c r="O31" i="1"/>
  <c r="P31" i="1"/>
  <c r="K32" i="1"/>
  <c r="L32" i="1"/>
  <c r="M32" i="1"/>
  <c r="N32" i="1"/>
  <c r="O32" i="1"/>
  <c r="P32" i="1"/>
  <c r="K33" i="1"/>
  <c r="L33" i="1"/>
  <c r="M33" i="1"/>
  <c r="N33" i="1"/>
  <c r="O33" i="1"/>
  <c r="P33" i="1"/>
  <c r="K34" i="1"/>
  <c r="L34" i="1"/>
  <c r="M34" i="1"/>
  <c r="N34" i="1"/>
  <c r="O34" i="1"/>
  <c r="P34" i="1"/>
  <c r="K35" i="1"/>
  <c r="L35" i="1"/>
  <c r="M35" i="1"/>
  <c r="N35" i="1"/>
  <c r="O35" i="1"/>
  <c r="P35" i="1"/>
  <c r="K36" i="1"/>
  <c r="L36" i="1"/>
  <c r="M36" i="1"/>
  <c r="N36" i="1"/>
  <c r="O36" i="1"/>
  <c r="P36" i="1"/>
  <c r="K37" i="1"/>
  <c r="L37" i="1"/>
  <c r="M37" i="1"/>
  <c r="N37" i="1"/>
  <c r="O37" i="1"/>
  <c r="P37" i="1"/>
  <c r="K38" i="1"/>
  <c r="L38" i="1"/>
  <c r="M38" i="1"/>
  <c r="N38" i="1"/>
  <c r="O38" i="1"/>
  <c r="P38" i="1"/>
  <c r="K39" i="1"/>
  <c r="L39" i="1"/>
  <c r="M39" i="1"/>
  <c r="N39" i="1"/>
  <c r="O39" i="1"/>
  <c r="P39" i="1"/>
  <c r="K40" i="1"/>
  <c r="L40" i="1"/>
  <c r="M40" i="1"/>
  <c r="N40" i="1"/>
  <c r="O40" i="1"/>
  <c r="P40" i="1"/>
  <c r="K41" i="1"/>
  <c r="L41" i="1"/>
  <c r="M41" i="1"/>
  <c r="N41" i="1"/>
  <c r="O41" i="1"/>
  <c r="P41" i="1"/>
  <c r="K42" i="1"/>
  <c r="L42" i="1"/>
  <c r="M42" i="1"/>
  <c r="N42" i="1"/>
  <c r="O42" i="1"/>
  <c r="P42" i="1"/>
  <c r="K51" i="1"/>
  <c r="L51" i="1"/>
  <c r="M51" i="1"/>
  <c r="N51" i="1"/>
  <c r="O51" i="1"/>
  <c r="P51" i="1"/>
  <c r="K52" i="1"/>
  <c r="L52" i="1"/>
  <c r="M52" i="1"/>
  <c r="N52" i="1"/>
  <c r="O52" i="1"/>
  <c r="P52" i="1"/>
  <c r="K54" i="1"/>
  <c r="L54" i="1"/>
  <c r="M54" i="1"/>
  <c r="N54" i="1"/>
  <c r="O54" i="1"/>
  <c r="P54" i="1"/>
  <c r="K55" i="1"/>
  <c r="L55" i="1"/>
  <c r="M55" i="1"/>
  <c r="N55" i="1"/>
  <c r="O55" i="1"/>
  <c r="P55" i="1"/>
  <c r="K57" i="1"/>
  <c r="L57" i="1"/>
  <c r="M57" i="1"/>
  <c r="N57" i="1"/>
  <c r="O57" i="1"/>
  <c r="P57" i="1"/>
  <c r="K60" i="1"/>
  <c r="L60" i="1"/>
  <c r="M60" i="1"/>
  <c r="N60" i="1"/>
  <c r="P60" i="1"/>
  <c r="K61" i="1"/>
  <c r="L61" i="1"/>
  <c r="M61" i="1"/>
  <c r="N61" i="1"/>
  <c r="O61" i="1"/>
  <c r="P61" i="1"/>
  <c r="K62" i="1"/>
  <c r="L62" i="1"/>
  <c r="M62" i="1"/>
  <c r="N62" i="1"/>
  <c r="O62" i="1"/>
  <c r="P62" i="1"/>
  <c r="K63" i="1"/>
  <c r="L63" i="1"/>
  <c r="M63" i="1"/>
  <c r="N63" i="1"/>
  <c r="O63" i="1"/>
  <c r="P63" i="1"/>
  <c r="K64" i="1"/>
  <c r="L64" i="1"/>
  <c r="M64" i="1"/>
  <c r="N64" i="1"/>
  <c r="O64" i="1"/>
  <c r="P64" i="1"/>
  <c r="K65" i="1"/>
  <c r="L65" i="1"/>
  <c r="M65" i="1"/>
  <c r="N65" i="1"/>
  <c r="O65" i="1"/>
  <c r="P65" i="1"/>
  <c r="K66" i="1"/>
  <c r="L66" i="1"/>
  <c r="M66" i="1"/>
  <c r="N66" i="1"/>
  <c r="O66" i="1"/>
  <c r="P66" i="1"/>
  <c r="K67" i="1"/>
  <c r="L67" i="1"/>
  <c r="M67" i="1"/>
  <c r="N67" i="1"/>
  <c r="O67" i="1"/>
  <c r="P67" i="1"/>
  <c r="K68" i="1"/>
  <c r="L68" i="1"/>
  <c r="M68" i="1"/>
  <c r="N68" i="1"/>
  <c r="O68" i="1"/>
  <c r="P68" i="1"/>
  <c r="K69" i="1"/>
  <c r="L69" i="1"/>
  <c r="M69" i="1"/>
  <c r="N69" i="1"/>
  <c r="O69" i="1"/>
  <c r="P69" i="1"/>
  <c r="K70" i="1"/>
  <c r="L70" i="1"/>
  <c r="M70" i="1"/>
  <c r="N70" i="1"/>
  <c r="O70" i="1"/>
  <c r="P70" i="1"/>
  <c r="K71" i="1"/>
  <c r="O3" i="1"/>
  <c r="N3" i="1"/>
  <c r="M3" i="1"/>
  <c r="L3" i="1"/>
  <c r="K3" i="1"/>
  <c r="D38" i="1"/>
  <c r="D37" i="1"/>
  <c r="D36" i="1"/>
  <c r="D14" i="1"/>
  <c r="D19" i="1"/>
  <c r="D30" i="1"/>
  <c r="D31" i="1"/>
  <c r="D32" i="1"/>
  <c r="D33" i="1"/>
  <c r="D34" i="1"/>
  <c r="D35" i="1"/>
  <c r="D39" i="1"/>
  <c r="D40" i="1"/>
  <c r="D29" i="1"/>
  <c r="D5" i="1"/>
  <c r="P3" i="1"/>
  <c r="D3" i="1"/>
  <c r="D6" i="1"/>
  <c r="D9" i="1"/>
  <c r="D10" i="1"/>
  <c r="D11" i="1"/>
  <c r="D12" i="1"/>
  <c r="D41" i="1"/>
  <c r="D42" i="1"/>
  <c r="D51" i="1"/>
  <c r="D52" i="1"/>
</calcChain>
</file>

<file path=xl/sharedStrings.xml><?xml version="1.0" encoding="utf-8"?>
<sst xmlns="http://schemas.openxmlformats.org/spreadsheetml/2006/main" count="211" uniqueCount="127">
  <si>
    <t>Actual</t>
  </si>
  <si>
    <t>Normalized</t>
  </si>
  <si>
    <t>Category</t>
  </si>
  <si>
    <t>Component</t>
  </si>
  <si>
    <t>Weight (lbf)</t>
  </si>
  <si>
    <t>Volume (in^3)</t>
  </si>
  <si>
    <t>X_DIM (in)</t>
  </si>
  <si>
    <t>Y_DIM (in)</t>
  </si>
  <si>
    <t>Z_DIM (in)</t>
  </si>
  <si>
    <t>X_CG (in)</t>
  </si>
  <si>
    <t>Y_CG (in)</t>
  </si>
  <si>
    <t>Z_CG (in)</t>
  </si>
  <si>
    <t>nX_DIM (in)</t>
  </si>
  <si>
    <t>nY_DIM (in)</t>
  </si>
  <si>
    <t>nZ_DIM (in)</t>
  </si>
  <si>
    <t>nX_CG (in)</t>
  </si>
  <si>
    <t>nY_CG (in)</t>
  </si>
  <si>
    <t>nZ_CG (in)</t>
  </si>
  <si>
    <t xml:space="preserve">Fuselage Length: </t>
  </si>
  <si>
    <t xml:space="preserve">Avionics </t>
  </si>
  <si>
    <t>in</t>
  </si>
  <si>
    <t>Environmental Control, Pilot Systems</t>
  </si>
  <si>
    <t>Armaments</t>
  </si>
  <si>
    <t>Aerodynamic Coordinates</t>
  </si>
  <si>
    <t>Radar, Sensors, Targeting Systems</t>
  </si>
  <si>
    <t>Nose UHF and RWR data bus</t>
  </si>
  <si>
    <t>X: Aft</t>
  </si>
  <si>
    <t>Landing gears Data Bus</t>
  </si>
  <si>
    <t>Y: Port</t>
  </si>
  <si>
    <t>Cockpit Data Bus</t>
  </si>
  <si>
    <t>Z: Ventral</t>
  </si>
  <si>
    <t>FCS/INS/CG Data Bus</t>
  </si>
  <si>
    <t>Armament Data Bus</t>
  </si>
  <si>
    <t xml:space="preserve">Categories: </t>
  </si>
  <si>
    <t>Engines</t>
  </si>
  <si>
    <t>Powerplant Data Bus</t>
  </si>
  <si>
    <t>Fuel System</t>
  </si>
  <si>
    <t>Fuel and Refuel Data Bus</t>
  </si>
  <si>
    <t>Fuel Tanks</t>
  </si>
  <si>
    <t>Control Surfaces Data Bus</t>
  </si>
  <si>
    <t>Pneumatic Systems</t>
  </si>
  <si>
    <t>Antenas Data Bus</t>
  </si>
  <si>
    <t>Hydraulic Systems</t>
  </si>
  <si>
    <t>AN/AAR-50 Infrared Navigation Recieving Set</t>
  </si>
  <si>
    <t>CP-100/AWG Command Launch Computer</t>
  </si>
  <si>
    <t>AN/ASQ-239 Countermeasures Warning &amp; Control</t>
  </si>
  <si>
    <t>AN/ASN-139 INS Set</t>
  </si>
  <si>
    <t>AN/ASN-163 SATNAV Set</t>
  </si>
  <si>
    <t>AMAD gearbox</t>
  </si>
  <si>
    <t>Electrical Power Systems</t>
  </si>
  <si>
    <t>Hydralic Pump</t>
  </si>
  <si>
    <t>Cooling Systems</t>
  </si>
  <si>
    <t>Landing Gear</t>
  </si>
  <si>
    <t>Structure</t>
  </si>
  <si>
    <t>Not assigned - Code will ignore</t>
  </si>
  <si>
    <t>OBOGS (oxygen concentrator)</t>
  </si>
  <si>
    <t>EPACS (Cooling Unit)</t>
  </si>
  <si>
    <t>Probe</t>
  </si>
  <si>
    <t>Ladder to cockpit</t>
  </si>
  <si>
    <t>Martin-Baker Mk US16E Seat</t>
  </si>
  <si>
    <t>FCS</t>
  </si>
  <si>
    <t>RAPTOR fiber optic recorder</t>
  </si>
  <si>
    <t>F110 Engine Port</t>
  </si>
  <si>
    <t>F110 Engine Starboard</t>
  </si>
  <si>
    <t>DFIRS</t>
  </si>
  <si>
    <t>AN/APG-82 Radar</t>
  </si>
  <si>
    <t>Nose gear Up/Down System</t>
  </si>
  <si>
    <t>AN/ALQ-165 Countermeasures Set, Port</t>
  </si>
  <si>
    <t>AN/ALE-47 Countermeasures Dispensing Set, Port</t>
  </si>
  <si>
    <t>AN/ALE-70 Decoy Set, Port</t>
  </si>
  <si>
    <t>AN/ALQ-165 Countermeasures Set, Starboard</t>
  </si>
  <si>
    <t>AN/ALE-47 Countermeasures Dispensing Set, Starboard</t>
  </si>
  <si>
    <t>AN/ALE-70 Decoy Set, Starboard</t>
  </si>
  <si>
    <t>AIM-9x ejector, Port</t>
  </si>
  <si>
    <t>AIM-9x ejector, Starboard</t>
  </si>
  <si>
    <t>BRU-57/A Store Racks Starboard Outboard</t>
  </si>
  <si>
    <t>BRU-57/A Store Racks Starboard Inboard</t>
  </si>
  <si>
    <t>BRU-57/A Store Racks, Port Inboard</t>
  </si>
  <si>
    <t>BRU-57/A Store Racks Port Outboard</t>
  </si>
  <si>
    <t>Wing RWR Bus, Port</t>
  </si>
  <si>
    <t>Wing RWR Bus, Starboard</t>
  </si>
  <si>
    <t>Main Gear Up/Down Port</t>
  </si>
  <si>
    <t>Main Gear Up/Down Starboard</t>
  </si>
  <si>
    <t>Flap actuation, Port Inboard</t>
  </si>
  <si>
    <t>Flap actuation, Starboard Inboard</t>
  </si>
  <si>
    <t>Flap actuation, Port Outboard</t>
  </si>
  <si>
    <t>Flap actuation, Starboard Outboard</t>
  </si>
  <si>
    <t>LERX Actuation, Port</t>
  </si>
  <si>
    <t>LERX Actuation, Starboard</t>
  </si>
  <si>
    <t>Stabilator Actuation, Port</t>
  </si>
  <si>
    <t>Stabilator Actuation, Starboard</t>
  </si>
  <si>
    <t>V-Tail Actuation, Port</t>
  </si>
  <si>
    <t>V-Tail Actuation, Starboard</t>
  </si>
  <si>
    <t>Wing Folder, Port</t>
  </si>
  <si>
    <t>Wing Folder, Starboard</t>
  </si>
  <si>
    <t>433 gal</t>
  </si>
  <si>
    <t>2900 lb fuel</t>
  </si>
  <si>
    <t>BRU-57/A Store Racks Port Middle</t>
  </si>
  <si>
    <t>BRU-57/A Store Racks Starboard Middle</t>
  </si>
  <si>
    <t>AIM-9X</t>
  </si>
  <si>
    <t>MK83 Bomb</t>
  </si>
  <si>
    <t>FPU-12A Drop Tank, Dry</t>
  </si>
  <si>
    <t>FPU-12A Drop Tank, Wet</t>
  </si>
  <si>
    <t>Fuselage Tank 1, Full</t>
  </si>
  <si>
    <t>Fuselage Tank 2, Full</t>
  </si>
  <si>
    <t>Fuselage Tank 3, Full</t>
  </si>
  <si>
    <t>Port Wing Tank, Full</t>
  </si>
  <si>
    <t>Starboard Wing Tank, Full</t>
  </si>
  <si>
    <t>Fuselage Tank 1, Empty</t>
  </si>
  <si>
    <t>Fuselage Tank 2, Empty</t>
  </si>
  <si>
    <t>Fuselage Tank 3, Empty</t>
  </si>
  <si>
    <t>Port Wing Tank, Empty</t>
  </si>
  <si>
    <t>Starboard Wing Tank, Empty</t>
  </si>
  <si>
    <t>Fuselage Structure</t>
  </si>
  <si>
    <t xml:space="preserve">Wing Structure </t>
  </si>
  <si>
    <t>Horizontal Stab. Structure</t>
  </si>
  <si>
    <t>V-tail Structure</t>
  </si>
  <si>
    <t xml:space="preserve">Tot. Fuel: </t>
  </si>
  <si>
    <t xml:space="preserve">Internal Fuel: </t>
  </si>
  <si>
    <t>AN/AAQ-40 SNIPER Detection Set</t>
  </si>
  <si>
    <t>Fuselage Tank 1, Final Reserve</t>
  </si>
  <si>
    <t>Fuselage Tank 2, Final Reserve</t>
  </si>
  <si>
    <t>Fuselage Tank 3, Final Reserve</t>
  </si>
  <si>
    <t>Fuel Tank Final Reserve Ratio:</t>
  </si>
  <si>
    <t xml:space="preserve">Fuel Tank Empty Ratio: </t>
  </si>
  <si>
    <t>Port Wing Tank, Final Reserve</t>
  </si>
  <si>
    <t>Starboard Wing Tank, Final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</si>
</sst>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3" borderId="0" xfId="0" applyFont="1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2" borderId="0" xfId="0" applyFill="1"/>
    <xf numFmtId="0" fontId="1" fillId="2" borderId="0" xfId="0" applyFont="1" applyFill="1"/>
    <xf numFmtId="0" fontId="1" fillId="11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13" borderId="0" xfId="0" applyFill="1"/>
    <xf numFmtId="0" fontId="1" fillId="14" borderId="0" xfId="0" applyFont="1" applyFill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2" fillId="10" borderId="0" xfId="1" applyFill="1"/>
    <xf numFmtId="0" fontId="3" fillId="10" borderId="0" xfId="0" applyFont="1" applyFill="1"/>
    <xf numFmtId="0" fontId="4" fillId="10" borderId="0" xfId="0" applyFont="1" applyFill="1"/>
    <xf numFmtId="165" fontId="0" fillId="12" borderId="0" xfId="0" applyNumberFormat="1" applyFill="1"/>
    <xf numFmtId="0" fontId="3" fillId="12" borderId="0" xfId="0" applyFont="1" applyFill="1"/>
    <xf numFmtId="0" fontId="0" fillId="15" borderId="2" xfId="0" applyFill="1" applyBorder="1"/>
    <xf numFmtId="0" fontId="3" fillId="4" borderId="0" xfId="0" applyFont="1" applyFill="1"/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66FF"/>
      <color rgb="FFFF66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tx.com/news/news-center/2024/01/30/rtx-epacs-f-35-power-and-thermal-management-system-demonstrates-80-kw-cooling-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89-4D32-47E3-A8B0-12D120C40C55}">
  <dimension ref="A1:U94"/>
  <sheetViews>
    <sheetView tabSelected="1" topLeftCell="A64" zoomScale="86" zoomScaleNormal="86" workbookViewId="0">
      <selection activeCell="B97" sqref="B97"/>
    </sheetView>
  </sheetViews>
  <sheetFormatPr defaultRowHeight="14.4" x14ac:dyDescent="0.3"/>
  <cols>
    <col min="1" max="1" width="33.5546875" bestFit="1" customWidth="1"/>
    <col min="2" max="2" width="44.88671875" bestFit="1" customWidth="1"/>
    <col min="3" max="4" width="11.6640625" customWidth="1"/>
    <col min="5" max="16" width="10.6640625" customWidth="1"/>
    <col min="18" max="18" width="12.33203125" customWidth="1"/>
    <col min="19" max="19" width="31.109375" customWidth="1"/>
  </cols>
  <sheetData>
    <row r="1" spans="1:21" x14ac:dyDescent="0.3">
      <c r="E1" s="30" t="s">
        <v>0</v>
      </c>
      <c r="F1" s="30"/>
      <c r="G1" s="30"/>
      <c r="H1" s="30"/>
      <c r="I1" s="30"/>
      <c r="J1" s="30"/>
      <c r="K1" s="30" t="s">
        <v>1</v>
      </c>
      <c r="L1" s="30"/>
      <c r="M1" s="30"/>
      <c r="N1" s="30"/>
      <c r="O1" s="30"/>
      <c r="P1" s="30"/>
    </row>
    <row r="2" spans="1:2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T2" t="s">
        <v>18</v>
      </c>
    </row>
    <row r="3" spans="1:21" x14ac:dyDescent="0.3">
      <c r="A3" t="s">
        <v>24</v>
      </c>
      <c r="B3" s="8" t="s">
        <v>25</v>
      </c>
      <c r="C3" s="13">
        <v>80</v>
      </c>
      <c r="D3" s="15">
        <f>E3*F3*G3</f>
        <v>1109.3952319999999</v>
      </c>
      <c r="E3" s="12">
        <v>11.38</v>
      </c>
      <c r="F3">
        <v>12.76</v>
      </c>
      <c r="G3">
        <v>7.64</v>
      </c>
      <c r="H3">
        <v>90</v>
      </c>
      <c r="I3">
        <v>0</v>
      </c>
      <c r="J3" s="14">
        <v>-20</v>
      </c>
      <c r="K3">
        <f t="shared" ref="K3:K34" si="0">E3/$T$3</f>
        <v>1.8966666666666666E-2</v>
      </c>
      <c r="L3">
        <f t="shared" ref="L3:L34" si="1">F3/$T$3</f>
        <v>2.1266666666666666E-2</v>
      </c>
      <c r="M3">
        <f t="shared" ref="M3:M34" si="2">G3/$T$3</f>
        <v>1.2733333333333333E-2</v>
      </c>
      <c r="N3">
        <f t="shared" ref="N3:N34" si="3">H3/$T$3</f>
        <v>0.15</v>
      </c>
      <c r="O3">
        <f t="shared" ref="O3:O34" si="4">I3/$T$3</f>
        <v>0</v>
      </c>
      <c r="P3">
        <f t="shared" ref="P3:P34" si="5">J3/$T$3</f>
        <v>-3.3333333333333333E-2</v>
      </c>
      <c r="T3">
        <v>600</v>
      </c>
      <c r="U3" t="s">
        <v>20</v>
      </c>
    </row>
    <row r="4" spans="1:21" x14ac:dyDescent="0.3">
      <c r="A4" t="s">
        <v>24</v>
      </c>
      <c r="B4" s="8" t="s">
        <v>27</v>
      </c>
      <c r="C4" s="13">
        <v>20</v>
      </c>
      <c r="D4" s="15">
        <f>E4*F4*G4</f>
        <v>729.19827199999997</v>
      </c>
      <c r="E4">
        <v>12.76</v>
      </c>
      <c r="F4">
        <v>7.64</v>
      </c>
      <c r="G4">
        <v>7.48</v>
      </c>
      <c r="H4">
        <v>80</v>
      </c>
      <c r="I4">
        <v>0</v>
      </c>
      <c r="J4">
        <v>12.5</v>
      </c>
      <c r="K4">
        <f t="shared" si="0"/>
        <v>2.1266666666666666E-2</v>
      </c>
      <c r="L4">
        <f t="shared" si="1"/>
        <v>1.2733333333333333E-2</v>
      </c>
      <c r="M4">
        <f t="shared" si="2"/>
        <v>1.2466666666666668E-2</v>
      </c>
      <c r="N4">
        <f t="shared" si="3"/>
        <v>0.13333333333333333</v>
      </c>
      <c r="O4">
        <f t="shared" si="4"/>
        <v>0</v>
      </c>
      <c r="P4">
        <f t="shared" si="5"/>
        <v>2.0833333333333332E-2</v>
      </c>
    </row>
    <row r="5" spans="1:21" x14ac:dyDescent="0.3">
      <c r="A5" t="s">
        <v>19</v>
      </c>
      <c r="B5" s="8" t="s">
        <v>29</v>
      </c>
      <c r="C5" s="13">
        <v>12</v>
      </c>
      <c r="D5" s="15">
        <f>E5*F5*G5</f>
        <v>2249.986112</v>
      </c>
      <c r="E5" s="12">
        <v>23.080000000000002</v>
      </c>
      <c r="F5">
        <v>7.64</v>
      </c>
      <c r="G5">
        <v>12.76</v>
      </c>
      <c r="H5">
        <v>150</v>
      </c>
      <c r="I5">
        <v>-20</v>
      </c>
      <c r="J5">
        <v>-20</v>
      </c>
      <c r="K5">
        <f t="shared" si="0"/>
        <v>3.846666666666667E-2</v>
      </c>
      <c r="L5">
        <f t="shared" si="1"/>
        <v>1.2733333333333333E-2</v>
      </c>
      <c r="M5">
        <f t="shared" si="2"/>
        <v>2.1266666666666666E-2</v>
      </c>
      <c r="N5">
        <f t="shared" si="3"/>
        <v>0.25</v>
      </c>
      <c r="O5">
        <f t="shared" si="4"/>
        <v>-3.3333333333333333E-2</v>
      </c>
      <c r="P5">
        <f t="shared" si="5"/>
        <v>-3.3333333333333333E-2</v>
      </c>
      <c r="T5" t="s">
        <v>23</v>
      </c>
    </row>
    <row r="6" spans="1:21" x14ac:dyDescent="0.3">
      <c r="A6" t="s">
        <v>24</v>
      </c>
      <c r="B6" s="8" t="s">
        <v>31</v>
      </c>
      <c r="C6" s="13">
        <v>100</v>
      </c>
      <c r="D6" s="15">
        <f t="shared" ref="D6:D14" si="6">E6*F6*G6</f>
        <v>3010.3800319999996</v>
      </c>
      <c r="E6" s="12">
        <v>7.64</v>
      </c>
      <c r="F6">
        <v>30.88</v>
      </c>
      <c r="G6">
        <v>12.76</v>
      </c>
      <c r="H6">
        <v>350</v>
      </c>
      <c r="I6">
        <v>0</v>
      </c>
      <c r="J6">
        <v>0</v>
      </c>
      <c r="K6">
        <f t="shared" si="0"/>
        <v>1.2733333333333333E-2</v>
      </c>
      <c r="L6">
        <f t="shared" si="1"/>
        <v>5.1466666666666668E-2</v>
      </c>
      <c r="M6">
        <f t="shared" si="2"/>
        <v>2.1266666666666666E-2</v>
      </c>
      <c r="N6">
        <f t="shared" si="3"/>
        <v>0.58333333333333337</v>
      </c>
      <c r="O6">
        <f t="shared" si="4"/>
        <v>0</v>
      </c>
      <c r="P6">
        <f t="shared" si="5"/>
        <v>0</v>
      </c>
      <c r="T6" t="s">
        <v>26</v>
      </c>
    </row>
    <row r="7" spans="1:21" x14ac:dyDescent="0.3">
      <c r="A7" t="s">
        <v>24</v>
      </c>
      <c r="B7" s="8" t="s">
        <v>79</v>
      </c>
      <c r="C7" s="13">
        <v>20</v>
      </c>
      <c r="D7" s="15">
        <f t="shared" si="6"/>
        <v>982.66291199999989</v>
      </c>
      <c r="E7" s="12">
        <v>12.76</v>
      </c>
      <c r="F7">
        <v>7.64</v>
      </c>
      <c r="G7">
        <v>10.08</v>
      </c>
      <c r="H7">
        <v>360</v>
      </c>
      <c r="I7">
        <v>210</v>
      </c>
      <c r="J7">
        <v>-17</v>
      </c>
      <c r="K7">
        <f t="shared" si="0"/>
        <v>2.1266666666666666E-2</v>
      </c>
      <c r="L7">
        <f t="shared" si="1"/>
        <v>1.2733333333333333E-2</v>
      </c>
      <c r="M7">
        <f t="shared" si="2"/>
        <v>1.6799999999999999E-2</v>
      </c>
      <c r="N7">
        <f t="shared" si="3"/>
        <v>0.6</v>
      </c>
      <c r="O7">
        <f t="shared" si="4"/>
        <v>0.35</v>
      </c>
      <c r="P7">
        <f t="shared" si="5"/>
        <v>-2.8333333333333332E-2</v>
      </c>
      <c r="T7" t="s">
        <v>30</v>
      </c>
    </row>
    <row r="8" spans="1:21" x14ac:dyDescent="0.3">
      <c r="A8" t="s">
        <v>24</v>
      </c>
      <c r="B8" s="8" t="s">
        <v>80</v>
      </c>
      <c r="C8" s="13">
        <v>20</v>
      </c>
      <c r="D8" s="15">
        <f t="shared" ref="D8" si="7">E8*F8*G8</f>
        <v>982.66291199999989</v>
      </c>
      <c r="E8" s="12">
        <v>12.76</v>
      </c>
      <c r="F8">
        <v>7.64</v>
      </c>
      <c r="G8">
        <v>10.08</v>
      </c>
      <c r="H8">
        <v>360</v>
      </c>
      <c r="I8">
        <v>-210</v>
      </c>
      <c r="J8">
        <v>-17</v>
      </c>
      <c r="K8">
        <f t="shared" si="0"/>
        <v>2.1266666666666666E-2</v>
      </c>
      <c r="L8">
        <f t="shared" si="1"/>
        <v>1.2733333333333333E-2</v>
      </c>
      <c r="M8">
        <f t="shared" si="2"/>
        <v>1.6799999999999999E-2</v>
      </c>
      <c r="N8">
        <f t="shared" si="3"/>
        <v>0.6</v>
      </c>
      <c r="O8">
        <f t="shared" si="4"/>
        <v>-0.35</v>
      </c>
      <c r="P8">
        <f t="shared" si="5"/>
        <v>-2.8333333333333332E-2</v>
      </c>
      <c r="T8" t="s">
        <v>28</v>
      </c>
    </row>
    <row r="9" spans="1:21" x14ac:dyDescent="0.3">
      <c r="A9" t="s">
        <v>24</v>
      </c>
      <c r="B9" s="8" t="s">
        <v>32</v>
      </c>
      <c r="C9" s="13">
        <v>20</v>
      </c>
      <c r="D9" s="15">
        <f t="shared" si="6"/>
        <v>1743.056832</v>
      </c>
      <c r="E9" s="12">
        <v>17.88</v>
      </c>
      <c r="F9">
        <v>12.76</v>
      </c>
      <c r="G9">
        <v>7.64</v>
      </c>
      <c r="H9">
        <v>90</v>
      </c>
      <c r="I9">
        <v>15</v>
      </c>
      <c r="J9">
        <v>-15</v>
      </c>
      <c r="K9">
        <f t="shared" si="0"/>
        <v>2.9799999999999997E-2</v>
      </c>
      <c r="L9">
        <f t="shared" si="1"/>
        <v>2.1266666666666666E-2</v>
      </c>
      <c r="M9">
        <f t="shared" si="2"/>
        <v>1.2733333333333333E-2</v>
      </c>
      <c r="N9">
        <f t="shared" si="3"/>
        <v>0.15</v>
      </c>
      <c r="O9">
        <f t="shared" si="4"/>
        <v>2.5000000000000001E-2</v>
      </c>
      <c r="P9">
        <f t="shared" si="5"/>
        <v>-2.5000000000000001E-2</v>
      </c>
      <c r="T9" t="s">
        <v>33</v>
      </c>
      <c r="U9" s="4" t="s">
        <v>34</v>
      </c>
    </row>
    <row r="10" spans="1:21" x14ac:dyDescent="0.3">
      <c r="A10" t="s">
        <v>24</v>
      </c>
      <c r="B10" s="8" t="s">
        <v>35</v>
      </c>
      <c r="C10" s="13">
        <v>80</v>
      </c>
      <c r="D10" s="15">
        <f t="shared" si="6"/>
        <v>5291.5617920000004</v>
      </c>
      <c r="E10" s="12">
        <v>54.28</v>
      </c>
      <c r="F10">
        <v>7.64</v>
      </c>
      <c r="G10">
        <v>12.76</v>
      </c>
      <c r="H10">
        <v>500</v>
      </c>
      <c r="I10">
        <v>20</v>
      </c>
      <c r="J10">
        <v>0</v>
      </c>
      <c r="K10">
        <f t="shared" si="0"/>
        <v>9.0466666666666667E-2</v>
      </c>
      <c r="L10">
        <f t="shared" si="1"/>
        <v>1.2733333333333333E-2</v>
      </c>
      <c r="M10">
        <f t="shared" si="2"/>
        <v>2.1266666666666666E-2</v>
      </c>
      <c r="N10">
        <f t="shared" si="3"/>
        <v>0.83333333333333337</v>
      </c>
      <c r="O10">
        <f t="shared" si="4"/>
        <v>3.3333333333333333E-2</v>
      </c>
      <c r="P10">
        <f t="shared" si="5"/>
        <v>0</v>
      </c>
      <c r="U10" s="1" t="s">
        <v>36</v>
      </c>
    </row>
    <row r="11" spans="1:21" x14ac:dyDescent="0.3">
      <c r="A11" t="s">
        <v>24</v>
      </c>
      <c r="B11" s="8" t="s">
        <v>37</v>
      </c>
      <c r="C11" s="13">
        <v>45</v>
      </c>
      <c r="D11" s="15">
        <f t="shared" si="6"/>
        <v>1109.3952320000001</v>
      </c>
      <c r="E11" s="12">
        <v>11.38</v>
      </c>
      <c r="F11">
        <v>7.64</v>
      </c>
      <c r="G11">
        <v>12.76</v>
      </c>
      <c r="H11">
        <v>150</v>
      </c>
      <c r="I11">
        <v>18</v>
      </c>
      <c r="J11">
        <v>-7.5</v>
      </c>
      <c r="K11">
        <f t="shared" si="0"/>
        <v>1.8966666666666666E-2</v>
      </c>
      <c r="L11">
        <f t="shared" si="1"/>
        <v>1.2733333333333333E-2</v>
      </c>
      <c r="M11">
        <f t="shared" si="2"/>
        <v>2.1266666666666666E-2</v>
      </c>
      <c r="N11">
        <f t="shared" si="3"/>
        <v>0.25</v>
      </c>
      <c r="O11">
        <f t="shared" si="4"/>
        <v>0.03</v>
      </c>
      <c r="P11">
        <f t="shared" si="5"/>
        <v>-1.2500000000000001E-2</v>
      </c>
      <c r="U11" s="8" t="s">
        <v>38</v>
      </c>
    </row>
    <row r="12" spans="1:21" x14ac:dyDescent="0.3">
      <c r="A12" t="s">
        <v>24</v>
      </c>
      <c r="B12" s="8" t="s">
        <v>39</v>
      </c>
      <c r="C12" s="13">
        <v>30</v>
      </c>
      <c r="D12" s="15">
        <f t="shared" si="6"/>
        <v>222.26899199999997</v>
      </c>
      <c r="E12" s="12">
        <v>12.76</v>
      </c>
      <c r="F12">
        <v>7.64</v>
      </c>
      <c r="G12">
        <v>2.2799999999999998</v>
      </c>
      <c r="H12">
        <v>80</v>
      </c>
      <c r="I12">
        <v>-10</v>
      </c>
      <c r="J12">
        <v>-10</v>
      </c>
      <c r="K12">
        <f t="shared" si="0"/>
        <v>2.1266666666666666E-2</v>
      </c>
      <c r="L12">
        <f t="shared" si="1"/>
        <v>1.2733333333333333E-2</v>
      </c>
      <c r="M12">
        <f t="shared" si="2"/>
        <v>3.7999999999999996E-3</v>
      </c>
      <c r="N12">
        <f t="shared" si="3"/>
        <v>0.13333333333333333</v>
      </c>
      <c r="O12">
        <f t="shared" si="4"/>
        <v>-1.6666666666666666E-2</v>
      </c>
      <c r="P12">
        <f t="shared" si="5"/>
        <v>-1.6666666666666666E-2</v>
      </c>
      <c r="U12" s="16" t="s">
        <v>40</v>
      </c>
    </row>
    <row r="13" spans="1:21" x14ac:dyDescent="0.3">
      <c r="A13" t="s">
        <v>24</v>
      </c>
      <c r="B13" s="8" t="s">
        <v>41</v>
      </c>
      <c r="C13" s="13">
        <v>30</v>
      </c>
      <c r="D13" s="15">
        <f>E13*F13*G13</f>
        <v>1109.3952319999999</v>
      </c>
      <c r="E13" s="12">
        <v>12.76</v>
      </c>
      <c r="F13">
        <v>7.64</v>
      </c>
      <c r="G13">
        <v>11.38</v>
      </c>
      <c r="H13">
        <v>80</v>
      </c>
      <c r="I13">
        <v>15</v>
      </c>
      <c r="J13">
        <v>0</v>
      </c>
      <c r="K13">
        <f t="shared" si="0"/>
        <v>2.1266666666666666E-2</v>
      </c>
      <c r="L13">
        <f t="shared" si="1"/>
        <v>1.2733333333333333E-2</v>
      </c>
      <c r="M13">
        <f t="shared" si="2"/>
        <v>1.8966666666666666E-2</v>
      </c>
      <c r="N13">
        <f t="shared" si="3"/>
        <v>0.13333333333333333</v>
      </c>
      <c r="O13">
        <f t="shared" si="4"/>
        <v>2.5000000000000001E-2</v>
      </c>
      <c r="P13">
        <f t="shared" si="5"/>
        <v>0</v>
      </c>
      <c r="U13" s="9" t="s">
        <v>42</v>
      </c>
    </row>
    <row r="14" spans="1:21" x14ac:dyDescent="0.3">
      <c r="A14" t="s">
        <v>24</v>
      </c>
      <c r="B14" s="8" t="s">
        <v>65</v>
      </c>
      <c r="C14" s="13">
        <v>700</v>
      </c>
      <c r="D14">
        <f t="shared" si="6"/>
        <v>28125</v>
      </c>
      <c r="E14" s="12">
        <v>45</v>
      </c>
      <c r="F14">
        <v>25</v>
      </c>
      <c r="G14">
        <v>25</v>
      </c>
      <c r="H14">
        <v>45</v>
      </c>
      <c r="I14">
        <v>0</v>
      </c>
      <c r="J14" s="14">
        <v>0</v>
      </c>
      <c r="K14">
        <f t="shared" si="0"/>
        <v>7.4999999999999997E-2</v>
      </c>
      <c r="L14">
        <f t="shared" si="1"/>
        <v>4.1666666666666664E-2</v>
      </c>
      <c r="M14">
        <f t="shared" si="2"/>
        <v>4.1666666666666664E-2</v>
      </c>
      <c r="N14">
        <f t="shared" si="3"/>
        <v>7.4999999999999997E-2</v>
      </c>
      <c r="O14">
        <f t="shared" si="4"/>
        <v>0</v>
      </c>
      <c r="P14">
        <f t="shared" si="5"/>
        <v>0</v>
      </c>
      <c r="U14" s="11" t="s">
        <v>49</v>
      </c>
    </row>
    <row r="15" spans="1:21" x14ac:dyDescent="0.3">
      <c r="A15" t="s">
        <v>22</v>
      </c>
      <c r="B15" s="6" t="s">
        <v>77</v>
      </c>
      <c r="C15" s="13">
        <v>300</v>
      </c>
      <c r="D15">
        <f t="shared" ref="D15:D16" si="8">E15*F15*G15</f>
        <v>12800</v>
      </c>
      <c r="E15" s="12">
        <v>100</v>
      </c>
      <c r="F15">
        <v>8</v>
      </c>
      <c r="G15">
        <v>16</v>
      </c>
      <c r="H15">
        <v>360</v>
      </c>
      <c r="I15">
        <v>85</v>
      </c>
      <c r="J15">
        <v>-10</v>
      </c>
      <c r="K15">
        <f t="shared" si="0"/>
        <v>0.16666666666666666</v>
      </c>
      <c r="L15">
        <f t="shared" si="1"/>
        <v>1.3333333333333334E-2</v>
      </c>
      <c r="M15">
        <f t="shared" si="2"/>
        <v>2.6666666666666668E-2</v>
      </c>
      <c r="N15">
        <f t="shared" si="3"/>
        <v>0.6</v>
      </c>
      <c r="O15">
        <f t="shared" si="4"/>
        <v>0.14166666666666666</v>
      </c>
      <c r="P15">
        <f t="shared" si="5"/>
        <v>-1.6666666666666666E-2</v>
      </c>
      <c r="U15" s="11"/>
    </row>
    <row r="16" spans="1:21" x14ac:dyDescent="0.3">
      <c r="A16" t="s">
        <v>22</v>
      </c>
      <c r="B16" s="6" t="s">
        <v>97</v>
      </c>
      <c r="C16" s="13">
        <v>300</v>
      </c>
      <c r="D16">
        <f t="shared" si="8"/>
        <v>12800</v>
      </c>
      <c r="E16" s="12">
        <v>100</v>
      </c>
      <c r="F16">
        <v>8</v>
      </c>
      <c r="G16">
        <v>16</v>
      </c>
      <c r="H16">
        <v>360</v>
      </c>
      <c r="I16">
        <v>120</v>
      </c>
      <c r="J16">
        <v>-10</v>
      </c>
      <c r="K16">
        <f t="shared" si="0"/>
        <v>0.16666666666666666</v>
      </c>
      <c r="L16">
        <f t="shared" si="1"/>
        <v>1.3333333333333334E-2</v>
      </c>
      <c r="M16">
        <f t="shared" si="2"/>
        <v>2.6666666666666668E-2</v>
      </c>
      <c r="N16">
        <f t="shared" si="3"/>
        <v>0.6</v>
      </c>
      <c r="O16">
        <f t="shared" si="4"/>
        <v>0.2</v>
      </c>
      <c r="P16">
        <f t="shared" si="5"/>
        <v>-1.6666666666666666E-2</v>
      </c>
      <c r="U16" s="11"/>
    </row>
    <row r="17" spans="1:21" x14ac:dyDescent="0.3">
      <c r="A17" t="s">
        <v>22</v>
      </c>
      <c r="B17" s="6" t="s">
        <v>78</v>
      </c>
      <c r="C17" s="13">
        <v>300</v>
      </c>
      <c r="D17">
        <f t="shared" ref="D17" si="9">E17*F17*G17</f>
        <v>12800</v>
      </c>
      <c r="E17" s="12">
        <v>100</v>
      </c>
      <c r="F17">
        <v>8</v>
      </c>
      <c r="G17">
        <v>16</v>
      </c>
      <c r="H17">
        <v>360</v>
      </c>
      <c r="I17">
        <v>155</v>
      </c>
      <c r="J17">
        <v>-10</v>
      </c>
      <c r="K17">
        <f t="shared" si="0"/>
        <v>0.16666666666666666</v>
      </c>
      <c r="L17">
        <f t="shared" si="1"/>
        <v>1.3333333333333334E-2</v>
      </c>
      <c r="M17">
        <f t="shared" si="2"/>
        <v>2.6666666666666668E-2</v>
      </c>
      <c r="N17">
        <f t="shared" si="3"/>
        <v>0.6</v>
      </c>
      <c r="O17">
        <f t="shared" si="4"/>
        <v>0.25833333333333336</v>
      </c>
      <c r="P17">
        <f t="shared" si="5"/>
        <v>-1.6666666666666666E-2</v>
      </c>
      <c r="U17" s="11"/>
    </row>
    <row r="18" spans="1:21" x14ac:dyDescent="0.3">
      <c r="A18" t="s">
        <v>22</v>
      </c>
      <c r="B18" s="6" t="s">
        <v>76</v>
      </c>
      <c r="C18" s="13">
        <v>300</v>
      </c>
      <c r="D18">
        <f t="shared" ref="D18" si="10">E18*F18*G18</f>
        <v>12800</v>
      </c>
      <c r="E18" s="12">
        <v>100</v>
      </c>
      <c r="F18">
        <v>8</v>
      </c>
      <c r="G18">
        <v>16</v>
      </c>
      <c r="H18">
        <v>360</v>
      </c>
      <c r="I18">
        <v>-85</v>
      </c>
      <c r="J18">
        <v>-10</v>
      </c>
      <c r="K18">
        <f t="shared" si="0"/>
        <v>0.16666666666666666</v>
      </c>
      <c r="L18">
        <f t="shared" si="1"/>
        <v>1.3333333333333334E-2</v>
      </c>
      <c r="M18">
        <f t="shared" si="2"/>
        <v>2.6666666666666668E-2</v>
      </c>
      <c r="N18">
        <f t="shared" si="3"/>
        <v>0.6</v>
      </c>
      <c r="O18">
        <f t="shared" si="4"/>
        <v>-0.14166666666666666</v>
      </c>
      <c r="P18">
        <f t="shared" si="5"/>
        <v>-1.6666666666666666E-2</v>
      </c>
      <c r="U18" s="11"/>
    </row>
    <row r="19" spans="1:21" x14ac:dyDescent="0.3">
      <c r="A19" t="s">
        <v>22</v>
      </c>
      <c r="B19" s="6" t="s">
        <v>98</v>
      </c>
      <c r="C19" s="13">
        <v>300</v>
      </c>
      <c r="D19">
        <f t="shared" ref="D19" si="11">E19*F19*G19</f>
        <v>12800</v>
      </c>
      <c r="E19" s="12">
        <v>100</v>
      </c>
      <c r="F19">
        <v>8</v>
      </c>
      <c r="G19">
        <v>16</v>
      </c>
      <c r="H19">
        <v>360</v>
      </c>
      <c r="I19">
        <v>-120</v>
      </c>
      <c r="J19">
        <v>-10</v>
      </c>
      <c r="K19">
        <f t="shared" si="0"/>
        <v>0.16666666666666666</v>
      </c>
      <c r="L19">
        <f t="shared" si="1"/>
        <v>1.3333333333333334E-2</v>
      </c>
      <c r="M19">
        <f t="shared" si="2"/>
        <v>2.6666666666666668E-2</v>
      </c>
      <c r="N19">
        <f t="shared" si="3"/>
        <v>0.6</v>
      </c>
      <c r="O19">
        <f t="shared" si="4"/>
        <v>-0.2</v>
      </c>
      <c r="P19">
        <f t="shared" si="5"/>
        <v>-1.6666666666666666E-2</v>
      </c>
      <c r="U19" s="11"/>
    </row>
    <row r="20" spans="1:21" x14ac:dyDescent="0.3">
      <c r="A20" t="s">
        <v>22</v>
      </c>
      <c r="B20" s="6" t="s">
        <v>75</v>
      </c>
      <c r="C20" s="13">
        <v>300</v>
      </c>
      <c r="D20">
        <f t="shared" ref="D20:D28" si="12">E20*F20*G20</f>
        <v>12800</v>
      </c>
      <c r="E20" s="12">
        <v>100</v>
      </c>
      <c r="F20">
        <v>8</v>
      </c>
      <c r="G20">
        <v>16</v>
      </c>
      <c r="H20">
        <v>360</v>
      </c>
      <c r="I20">
        <v>-155</v>
      </c>
      <c r="J20">
        <v>-10</v>
      </c>
      <c r="K20">
        <f t="shared" si="0"/>
        <v>0.16666666666666666</v>
      </c>
      <c r="L20">
        <f t="shared" si="1"/>
        <v>1.3333333333333334E-2</v>
      </c>
      <c r="M20">
        <f t="shared" si="2"/>
        <v>2.6666666666666668E-2</v>
      </c>
      <c r="N20">
        <f t="shared" si="3"/>
        <v>0.6</v>
      </c>
      <c r="O20">
        <f t="shared" si="4"/>
        <v>-0.25833333333333336</v>
      </c>
      <c r="P20">
        <f t="shared" si="5"/>
        <v>-1.6666666666666666E-2</v>
      </c>
      <c r="U20" s="11"/>
    </row>
    <row r="21" spans="1:21" x14ac:dyDescent="0.3">
      <c r="A21" t="s">
        <v>22</v>
      </c>
      <c r="B21" s="1" t="s">
        <v>100</v>
      </c>
      <c r="C21" s="13">
        <v>985</v>
      </c>
      <c r="D21">
        <f t="shared" si="12"/>
        <v>47200</v>
      </c>
      <c r="E21" s="12">
        <v>118</v>
      </c>
      <c r="F21">
        <v>20</v>
      </c>
      <c r="G21">
        <v>20</v>
      </c>
      <c r="H21">
        <v>360</v>
      </c>
      <c r="I21">
        <v>120</v>
      </c>
      <c r="J21">
        <v>5</v>
      </c>
      <c r="K21">
        <f t="shared" si="0"/>
        <v>0.19666666666666666</v>
      </c>
      <c r="L21">
        <f t="shared" si="1"/>
        <v>3.3333333333333333E-2</v>
      </c>
      <c r="M21">
        <f t="shared" si="2"/>
        <v>3.3333333333333333E-2</v>
      </c>
      <c r="N21">
        <f t="shared" si="3"/>
        <v>0.6</v>
      </c>
      <c r="O21">
        <f t="shared" si="4"/>
        <v>0.2</v>
      </c>
      <c r="P21">
        <f t="shared" si="5"/>
        <v>8.3333333333333332E-3</v>
      </c>
      <c r="U21" s="17" t="s">
        <v>51</v>
      </c>
    </row>
    <row r="22" spans="1:21" x14ac:dyDescent="0.3">
      <c r="A22" t="s">
        <v>22</v>
      </c>
      <c r="B22" s="1" t="s">
        <v>100</v>
      </c>
      <c r="C22" s="13">
        <v>985</v>
      </c>
      <c r="D22">
        <f t="shared" si="12"/>
        <v>47200</v>
      </c>
      <c r="E22" s="12">
        <v>118</v>
      </c>
      <c r="F22">
        <v>20</v>
      </c>
      <c r="G22">
        <v>20</v>
      </c>
      <c r="H22">
        <v>360</v>
      </c>
      <c r="I22">
        <v>155</v>
      </c>
      <c r="J22">
        <v>5</v>
      </c>
      <c r="K22">
        <f t="shared" si="0"/>
        <v>0.19666666666666666</v>
      </c>
      <c r="L22">
        <f t="shared" si="1"/>
        <v>3.3333333333333333E-2</v>
      </c>
      <c r="M22">
        <f t="shared" si="2"/>
        <v>3.3333333333333333E-2</v>
      </c>
      <c r="N22">
        <f t="shared" si="3"/>
        <v>0.6</v>
      </c>
      <c r="O22">
        <f t="shared" si="4"/>
        <v>0.25833333333333336</v>
      </c>
      <c r="P22">
        <f t="shared" si="5"/>
        <v>8.3333333333333332E-3</v>
      </c>
      <c r="U22" s="5" t="s">
        <v>19</v>
      </c>
    </row>
    <row r="23" spans="1:21" x14ac:dyDescent="0.3">
      <c r="A23" t="s">
        <v>22</v>
      </c>
      <c r="B23" s="1" t="s">
        <v>100</v>
      </c>
      <c r="C23" s="13">
        <v>985</v>
      </c>
      <c r="D23">
        <f t="shared" si="12"/>
        <v>47200</v>
      </c>
      <c r="E23" s="12">
        <v>118</v>
      </c>
      <c r="F23">
        <v>20</v>
      </c>
      <c r="G23">
        <v>20</v>
      </c>
      <c r="H23">
        <v>360</v>
      </c>
      <c r="I23">
        <v>-120</v>
      </c>
      <c r="J23">
        <v>5</v>
      </c>
      <c r="K23">
        <f t="shared" si="0"/>
        <v>0.19666666666666666</v>
      </c>
      <c r="L23">
        <f t="shared" si="1"/>
        <v>3.3333333333333333E-2</v>
      </c>
      <c r="M23">
        <f t="shared" si="2"/>
        <v>3.3333333333333333E-2</v>
      </c>
      <c r="N23">
        <f t="shared" si="3"/>
        <v>0.6</v>
      </c>
      <c r="O23">
        <f t="shared" si="4"/>
        <v>-0.2</v>
      </c>
      <c r="P23">
        <f t="shared" si="5"/>
        <v>8.3333333333333332E-3</v>
      </c>
      <c r="U23" s="7" t="s">
        <v>24</v>
      </c>
    </row>
    <row r="24" spans="1:21" x14ac:dyDescent="0.3">
      <c r="A24" t="s">
        <v>22</v>
      </c>
      <c r="B24" s="1" t="s">
        <v>100</v>
      </c>
      <c r="C24" s="13">
        <v>985</v>
      </c>
      <c r="D24">
        <f t="shared" si="12"/>
        <v>47200</v>
      </c>
      <c r="E24" s="12">
        <v>118</v>
      </c>
      <c r="F24">
        <v>20</v>
      </c>
      <c r="G24">
        <v>20</v>
      </c>
      <c r="H24">
        <v>360</v>
      </c>
      <c r="I24">
        <v>-155</v>
      </c>
      <c r="J24">
        <v>5</v>
      </c>
      <c r="K24">
        <f t="shared" si="0"/>
        <v>0.19666666666666666</v>
      </c>
      <c r="L24">
        <f t="shared" si="1"/>
        <v>3.3333333333333333E-2</v>
      </c>
      <c r="M24">
        <f t="shared" si="2"/>
        <v>3.3333333333333333E-2</v>
      </c>
      <c r="N24">
        <f t="shared" si="3"/>
        <v>0.6</v>
      </c>
      <c r="O24">
        <f t="shared" si="4"/>
        <v>-0.25833333333333336</v>
      </c>
      <c r="P24">
        <f t="shared" si="5"/>
        <v>8.3333333333333332E-3</v>
      </c>
      <c r="U24" s="6" t="s">
        <v>21</v>
      </c>
    </row>
    <row r="25" spans="1:21" x14ac:dyDescent="0.3">
      <c r="B25" s="1" t="s">
        <v>101</v>
      </c>
      <c r="C25" s="13">
        <v>310</v>
      </c>
      <c r="D25">
        <f t="shared" ref="D25:D26" si="13">E25*F25*G25</f>
        <v>220160</v>
      </c>
      <c r="E25" s="12">
        <v>215</v>
      </c>
      <c r="F25">
        <v>32</v>
      </c>
      <c r="G25">
        <v>32</v>
      </c>
      <c r="H25">
        <v>360</v>
      </c>
      <c r="I25">
        <v>85</v>
      </c>
      <c r="J25">
        <v>10</v>
      </c>
      <c r="K25">
        <f t="shared" si="0"/>
        <v>0.35833333333333334</v>
      </c>
      <c r="L25">
        <f t="shared" si="1"/>
        <v>5.3333333333333337E-2</v>
      </c>
      <c r="M25">
        <f t="shared" si="2"/>
        <v>5.3333333333333337E-2</v>
      </c>
      <c r="N25">
        <f t="shared" si="3"/>
        <v>0.6</v>
      </c>
      <c r="O25">
        <f t="shared" si="4"/>
        <v>0.14166666666666666</v>
      </c>
      <c r="P25">
        <f t="shared" si="5"/>
        <v>1.6666666666666666E-2</v>
      </c>
      <c r="U25" s="6"/>
    </row>
    <row r="26" spans="1:21" x14ac:dyDescent="0.3">
      <c r="B26" s="1" t="s">
        <v>101</v>
      </c>
      <c r="C26" s="13">
        <v>310</v>
      </c>
      <c r="D26">
        <f t="shared" si="13"/>
        <v>220160</v>
      </c>
      <c r="E26" s="12">
        <v>215</v>
      </c>
      <c r="F26">
        <v>32</v>
      </c>
      <c r="G26">
        <v>32</v>
      </c>
      <c r="H26">
        <v>360</v>
      </c>
      <c r="I26">
        <v>-85</v>
      </c>
      <c r="J26">
        <v>10</v>
      </c>
      <c r="K26">
        <f t="shared" si="0"/>
        <v>0.35833333333333334</v>
      </c>
      <c r="L26">
        <f t="shared" si="1"/>
        <v>5.3333333333333337E-2</v>
      </c>
      <c r="M26">
        <f t="shared" si="2"/>
        <v>5.3333333333333337E-2</v>
      </c>
      <c r="N26">
        <f t="shared" si="3"/>
        <v>0.6</v>
      </c>
      <c r="O26">
        <f t="shared" si="4"/>
        <v>-0.14166666666666666</v>
      </c>
      <c r="P26">
        <f t="shared" si="5"/>
        <v>1.6666666666666666E-2</v>
      </c>
      <c r="U26" s="6"/>
    </row>
    <row r="27" spans="1:21" x14ac:dyDescent="0.3">
      <c r="A27" t="s">
        <v>38</v>
      </c>
      <c r="B27" s="1" t="s">
        <v>102</v>
      </c>
      <c r="C27" s="13">
        <v>3254</v>
      </c>
      <c r="D27">
        <f t="shared" si="12"/>
        <v>220160</v>
      </c>
      <c r="E27" s="12">
        <v>215</v>
      </c>
      <c r="F27">
        <v>32</v>
      </c>
      <c r="G27">
        <v>32</v>
      </c>
      <c r="H27">
        <v>360</v>
      </c>
      <c r="I27">
        <v>85</v>
      </c>
      <c r="J27">
        <v>10</v>
      </c>
      <c r="K27">
        <f t="shared" si="0"/>
        <v>0.35833333333333334</v>
      </c>
      <c r="L27">
        <f t="shared" si="1"/>
        <v>5.3333333333333337E-2</v>
      </c>
      <c r="M27">
        <f t="shared" si="2"/>
        <v>5.3333333333333337E-2</v>
      </c>
      <c r="N27">
        <f t="shared" si="3"/>
        <v>0.6</v>
      </c>
      <c r="O27">
        <f t="shared" si="4"/>
        <v>0.14166666666666666</v>
      </c>
      <c r="P27">
        <f t="shared" si="5"/>
        <v>1.6666666666666666E-2</v>
      </c>
      <c r="U27" s="3" t="s">
        <v>52</v>
      </c>
    </row>
    <row r="28" spans="1:21" x14ac:dyDescent="0.3">
      <c r="A28" t="s">
        <v>38</v>
      </c>
      <c r="B28" s="1" t="s">
        <v>102</v>
      </c>
      <c r="C28" s="13">
        <v>3254</v>
      </c>
      <c r="D28">
        <f t="shared" si="12"/>
        <v>220160</v>
      </c>
      <c r="E28" s="12">
        <v>215</v>
      </c>
      <c r="F28">
        <v>32</v>
      </c>
      <c r="G28">
        <v>32</v>
      </c>
      <c r="H28">
        <v>360</v>
      </c>
      <c r="I28">
        <v>-85</v>
      </c>
      <c r="J28">
        <v>10</v>
      </c>
      <c r="K28">
        <f t="shared" si="0"/>
        <v>0.35833333333333334</v>
      </c>
      <c r="L28">
        <f t="shared" si="1"/>
        <v>5.3333333333333337E-2</v>
      </c>
      <c r="M28">
        <f t="shared" si="2"/>
        <v>5.3333333333333337E-2</v>
      </c>
      <c r="N28">
        <f t="shared" si="3"/>
        <v>0.6</v>
      </c>
      <c r="O28">
        <f t="shared" si="4"/>
        <v>-0.14166666666666666</v>
      </c>
      <c r="P28">
        <f t="shared" si="5"/>
        <v>1.6666666666666666E-2</v>
      </c>
      <c r="U28" s="3"/>
    </row>
    <row r="29" spans="1:21" x14ac:dyDescent="0.3">
      <c r="A29" t="s">
        <v>24</v>
      </c>
      <c r="B29" s="6" t="s">
        <v>119</v>
      </c>
      <c r="C29" s="13">
        <v>446</v>
      </c>
      <c r="D29" s="13">
        <f>E29*F29*G29</f>
        <v>13906.102000000003</v>
      </c>
      <c r="E29">
        <v>98.2</v>
      </c>
      <c r="F29">
        <v>11.9</v>
      </c>
      <c r="G29">
        <v>11.9</v>
      </c>
      <c r="H29">
        <v>300</v>
      </c>
      <c r="I29">
        <v>0</v>
      </c>
      <c r="J29">
        <v>30</v>
      </c>
      <c r="K29">
        <f t="shared" si="0"/>
        <v>0.16366666666666668</v>
      </c>
      <c r="L29">
        <f t="shared" si="1"/>
        <v>1.9833333333333335E-2</v>
      </c>
      <c r="M29">
        <f t="shared" si="2"/>
        <v>1.9833333333333335E-2</v>
      </c>
      <c r="N29">
        <f t="shared" si="3"/>
        <v>0.5</v>
      </c>
      <c r="O29">
        <f t="shared" si="4"/>
        <v>0</v>
      </c>
      <c r="P29">
        <f t="shared" si="5"/>
        <v>0.05</v>
      </c>
      <c r="U29" s="10" t="s">
        <v>22</v>
      </c>
    </row>
    <row r="30" spans="1:21" x14ac:dyDescent="0.3">
      <c r="A30" t="s">
        <v>24</v>
      </c>
      <c r="B30" s="8" t="s">
        <v>43</v>
      </c>
      <c r="C30" s="13">
        <v>176</v>
      </c>
      <c r="D30">
        <f t="shared" ref="D30" si="14">E30*F30*G30</f>
        <v>2520</v>
      </c>
      <c r="E30" s="12">
        <v>18</v>
      </c>
      <c r="F30">
        <v>14</v>
      </c>
      <c r="G30">
        <v>10</v>
      </c>
      <c r="H30">
        <v>85</v>
      </c>
      <c r="I30">
        <v>-15</v>
      </c>
      <c r="J30">
        <v>0</v>
      </c>
      <c r="K30">
        <f t="shared" si="0"/>
        <v>0.03</v>
      </c>
      <c r="L30">
        <f t="shared" si="1"/>
        <v>2.3333333333333334E-2</v>
      </c>
      <c r="M30">
        <f t="shared" si="2"/>
        <v>1.6666666666666666E-2</v>
      </c>
      <c r="N30">
        <f t="shared" si="3"/>
        <v>0.14166666666666666</v>
      </c>
      <c r="O30">
        <f t="shared" si="4"/>
        <v>-2.5000000000000001E-2</v>
      </c>
      <c r="P30">
        <f t="shared" si="5"/>
        <v>0</v>
      </c>
      <c r="U30" s="2" t="s">
        <v>53</v>
      </c>
    </row>
    <row r="31" spans="1:21" x14ac:dyDescent="0.3">
      <c r="A31" t="s">
        <v>24</v>
      </c>
      <c r="B31" s="8" t="s">
        <v>44</v>
      </c>
      <c r="C31" s="13">
        <v>35</v>
      </c>
      <c r="D31">
        <f t="shared" ref="D31" si="15">E31*F31*G31</f>
        <v>2560</v>
      </c>
      <c r="E31" s="12">
        <v>20</v>
      </c>
      <c r="F31">
        <v>16</v>
      </c>
      <c r="G31">
        <v>8</v>
      </c>
      <c r="H31">
        <v>100</v>
      </c>
      <c r="I31">
        <v>15</v>
      </c>
      <c r="J31">
        <v>0</v>
      </c>
      <c r="K31">
        <f t="shared" si="0"/>
        <v>3.3333333333333333E-2</v>
      </c>
      <c r="L31">
        <f t="shared" si="1"/>
        <v>2.6666666666666668E-2</v>
      </c>
      <c r="M31">
        <f t="shared" si="2"/>
        <v>1.3333333333333334E-2</v>
      </c>
      <c r="N31">
        <f t="shared" si="3"/>
        <v>0.16666666666666666</v>
      </c>
      <c r="O31">
        <f t="shared" si="4"/>
        <v>2.5000000000000001E-2</v>
      </c>
      <c r="P31">
        <f t="shared" si="5"/>
        <v>0</v>
      </c>
      <c r="U31" t="s">
        <v>54</v>
      </c>
    </row>
    <row r="32" spans="1:21" x14ac:dyDescent="0.3">
      <c r="A32" t="s">
        <v>24</v>
      </c>
      <c r="B32" s="8" t="s">
        <v>45</v>
      </c>
      <c r="C32" s="13">
        <v>300</v>
      </c>
      <c r="D32">
        <f t="shared" ref="D32" si="16">E32*F32*G32</f>
        <v>5760</v>
      </c>
      <c r="E32" s="12">
        <v>24</v>
      </c>
      <c r="F32">
        <v>20</v>
      </c>
      <c r="G32">
        <v>12</v>
      </c>
      <c r="H32">
        <v>475</v>
      </c>
      <c r="I32">
        <v>0</v>
      </c>
      <c r="J32">
        <v>-25</v>
      </c>
      <c r="K32">
        <f t="shared" si="0"/>
        <v>0.04</v>
      </c>
      <c r="L32">
        <f t="shared" si="1"/>
        <v>3.3333333333333333E-2</v>
      </c>
      <c r="M32">
        <f t="shared" si="2"/>
        <v>0.02</v>
      </c>
      <c r="N32">
        <f t="shared" si="3"/>
        <v>0.79166666666666663</v>
      </c>
      <c r="O32">
        <f t="shared" si="4"/>
        <v>0</v>
      </c>
      <c r="P32">
        <f t="shared" si="5"/>
        <v>-4.1666666666666664E-2</v>
      </c>
    </row>
    <row r="33" spans="1:16" x14ac:dyDescent="0.3">
      <c r="A33" t="s">
        <v>24</v>
      </c>
      <c r="B33" s="8" t="s">
        <v>67</v>
      </c>
      <c r="C33" s="13">
        <v>410</v>
      </c>
      <c r="D33">
        <f t="shared" ref="D33" si="17">E33*F33*G33</f>
        <v>768</v>
      </c>
      <c r="E33" s="12">
        <v>12</v>
      </c>
      <c r="F33">
        <v>8</v>
      </c>
      <c r="G33">
        <v>8</v>
      </c>
      <c r="H33">
        <v>500</v>
      </c>
      <c r="I33">
        <v>40</v>
      </c>
      <c r="J33">
        <v>22.5</v>
      </c>
      <c r="K33">
        <f t="shared" si="0"/>
        <v>0.02</v>
      </c>
      <c r="L33">
        <f t="shared" si="1"/>
        <v>1.3333333333333334E-2</v>
      </c>
      <c r="M33">
        <f t="shared" si="2"/>
        <v>1.3333333333333334E-2</v>
      </c>
      <c r="N33">
        <f t="shared" si="3"/>
        <v>0.83333333333333337</v>
      </c>
      <c r="O33">
        <f t="shared" si="4"/>
        <v>6.6666666666666666E-2</v>
      </c>
      <c r="P33">
        <f t="shared" si="5"/>
        <v>3.7499999999999999E-2</v>
      </c>
    </row>
    <row r="34" spans="1:16" x14ac:dyDescent="0.3">
      <c r="A34" t="s">
        <v>24</v>
      </c>
      <c r="B34" s="8" t="s">
        <v>68</v>
      </c>
      <c r="C34" s="13">
        <v>32</v>
      </c>
      <c r="D34">
        <f t="shared" ref="D34" si="18">E34*F34*G34</f>
        <v>1280</v>
      </c>
      <c r="E34" s="12">
        <v>16</v>
      </c>
      <c r="F34">
        <v>10</v>
      </c>
      <c r="G34">
        <v>8</v>
      </c>
      <c r="H34">
        <v>520</v>
      </c>
      <c r="I34">
        <v>40</v>
      </c>
      <c r="J34">
        <v>22.5</v>
      </c>
      <c r="K34">
        <f t="shared" si="0"/>
        <v>2.6666666666666668E-2</v>
      </c>
      <c r="L34">
        <f t="shared" si="1"/>
        <v>1.6666666666666666E-2</v>
      </c>
      <c r="M34">
        <f t="shared" si="2"/>
        <v>1.3333333333333334E-2</v>
      </c>
      <c r="N34">
        <f t="shared" si="3"/>
        <v>0.8666666666666667</v>
      </c>
      <c r="O34">
        <f t="shared" si="4"/>
        <v>6.6666666666666666E-2</v>
      </c>
      <c r="P34">
        <f t="shared" si="5"/>
        <v>3.7499999999999999E-2</v>
      </c>
    </row>
    <row r="35" spans="1:16" x14ac:dyDescent="0.3">
      <c r="A35" t="s">
        <v>24</v>
      </c>
      <c r="B35" s="8" t="s">
        <v>69</v>
      </c>
      <c r="C35" s="13">
        <v>50</v>
      </c>
      <c r="D35">
        <f t="shared" ref="D35:D37" si="19">E35*F35*G35</f>
        <v>900</v>
      </c>
      <c r="E35" s="12">
        <v>25</v>
      </c>
      <c r="F35">
        <v>6</v>
      </c>
      <c r="G35">
        <v>6</v>
      </c>
      <c r="H35">
        <v>540</v>
      </c>
      <c r="I35">
        <v>40</v>
      </c>
      <c r="J35">
        <v>20</v>
      </c>
      <c r="K35">
        <f t="shared" ref="K35:K66" si="20">E35/$T$3</f>
        <v>4.1666666666666664E-2</v>
      </c>
      <c r="L35">
        <f t="shared" ref="L35:L66" si="21">F35/$T$3</f>
        <v>0.01</v>
      </c>
      <c r="M35">
        <f t="shared" ref="M35:M66" si="22">G35/$T$3</f>
        <v>0.01</v>
      </c>
      <c r="N35">
        <f t="shared" ref="N35:N66" si="23">H35/$T$3</f>
        <v>0.9</v>
      </c>
      <c r="O35">
        <f t="shared" ref="O35:O66" si="24">I35/$T$3</f>
        <v>6.6666666666666666E-2</v>
      </c>
      <c r="P35">
        <f t="shared" ref="P35:P66" si="25">J35/$T$3</f>
        <v>3.3333333333333333E-2</v>
      </c>
    </row>
    <row r="36" spans="1:16" x14ac:dyDescent="0.3">
      <c r="A36" t="s">
        <v>24</v>
      </c>
      <c r="B36" s="8" t="s">
        <v>70</v>
      </c>
      <c r="C36" s="13">
        <v>410</v>
      </c>
      <c r="D36">
        <f t="shared" si="19"/>
        <v>768</v>
      </c>
      <c r="E36" s="12">
        <v>12</v>
      </c>
      <c r="F36">
        <v>8</v>
      </c>
      <c r="G36">
        <v>8</v>
      </c>
      <c r="H36">
        <v>500</v>
      </c>
      <c r="I36">
        <v>-40</v>
      </c>
      <c r="J36">
        <v>22.5</v>
      </c>
      <c r="K36">
        <f t="shared" si="20"/>
        <v>0.02</v>
      </c>
      <c r="L36">
        <f t="shared" si="21"/>
        <v>1.3333333333333334E-2</v>
      </c>
      <c r="M36">
        <f t="shared" si="22"/>
        <v>1.3333333333333334E-2</v>
      </c>
      <c r="N36">
        <f t="shared" si="23"/>
        <v>0.83333333333333337</v>
      </c>
      <c r="O36">
        <f t="shared" si="24"/>
        <v>-6.6666666666666666E-2</v>
      </c>
      <c r="P36">
        <f t="shared" si="25"/>
        <v>3.7499999999999999E-2</v>
      </c>
    </row>
    <row r="37" spans="1:16" x14ac:dyDescent="0.3">
      <c r="A37" t="s">
        <v>24</v>
      </c>
      <c r="B37" s="8" t="s">
        <v>71</v>
      </c>
      <c r="C37" s="13">
        <v>32</v>
      </c>
      <c r="D37">
        <f t="shared" si="19"/>
        <v>1280</v>
      </c>
      <c r="E37" s="12">
        <v>16</v>
      </c>
      <c r="F37">
        <v>10</v>
      </c>
      <c r="G37">
        <v>8</v>
      </c>
      <c r="H37">
        <v>520</v>
      </c>
      <c r="I37">
        <v>-40</v>
      </c>
      <c r="J37">
        <v>22.5</v>
      </c>
      <c r="K37">
        <f t="shared" si="20"/>
        <v>2.6666666666666668E-2</v>
      </c>
      <c r="L37">
        <f t="shared" si="21"/>
        <v>1.6666666666666666E-2</v>
      </c>
      <c r="M37">
        <f t="shared" si="22"/>
        <v>1.3333333333333334E-2</v>
      </c>
      <c r="N37">
        <f t="shared" si="23"/>
        <v>0.8666666666666667</v>
      </c>
      <c r="O37">
        <f t="shared" si="24"/>
        <v>-6.6666666666666666E-2</v>
      </c>
      <c r="P37">
        <f t="shared" si="25"/>
        <v>3.7499999999999999E-2</v>
      </c>
    </row>
    <row r="38" spans="1:16" x14ac:dyDescent="0.3">
      <c r="A38" t="s">
        <v>24</v>
      </c>
      <c r="B38" s="8" t="s">
        <v>72</v>
      </c>
      <c r="C38" s="13">
        <v>50</v>
      </c>
      <c r="D38">
        <f t="shared" ref="D38" si="26">E38*F38*G38</f>
        <v>900</v>
      </c>
      <c r="E38" s="12">
        <v>25</v>
      </c>
      <c r="F38">
        <v>6</v>
      </c>
      <c r="G38">
        <v>6</v>
      </c>
      <c r="H38">
        <v>540</v>
      </c>
      <c r="I38">
        <v>-40</v>
      </c>
      <c r="J38">
        <v>20</v>
      </c>
      <c r="K38">
        <f t="shared" si="20"/>
        <v>4.1666666666666664E-2</v>
      </c>
      <c r="L38">
        <f t="shared" si="21"/>
        <v>0.01</v>
      </c>
      <c r="M38">
        <f t="shared" si="22"/>
        <v>0.01</v>
      </c>
      <c r="N38">
        <f t="shared" si="23"/>
        <v>0.9</v>
      </c>
      <c r="O38">
        <f t="shared" si="24"/>
        <v>-6.6666666666666666E-2</v>
      </c>
      <c r="P38">
        <f t="shared" si="25"/>
        <v>3.3333333333333333E-2</v>
      </c>
    </row>
    <row r="39" spans="1:16" x14ac:dyDescent="0.3">
      <c r="A39" t="s">
        <v>24</v>
      </c>
      <c r="B39" s="8" t="s">
        <v>46</v>
      </c>
      <c r="C39" s="13">
        <v>42.5</v>
      </c>
      <c r="D39">
        <f t="shared" ref="D39" si="27">E39*F39*G39</f>
        <v>2016</v>
      </c>
      <c r="E39" s="12">
        <v>18</v>
      </c>
      <c r="F39">
        <v>14</v>
      </c>
      <c r="G39">
        <v>8</v>
      </c>
      <c r="H39">
        <v>80</v>
      </c>
      <c r="I39">
        <v>0</v>
      </c>
      <c r="J39">
        <v>0</v>
      </c>
      <c r="K39">
        <f t="shared" si="20"/>
        <v>0.03</v>
      </c>
      <c r="L39">
        <f t="shared" si="21"/>
        <v>2.3333333333333334E-2</v>
      </c>
      <c r="M39">
        <f t="shared" si="22"/>
        <v>1.3333333333333334E-2</v>
      </c>
      <c r="N39">
        <f t="shared" si="23"/>
        <v>0.13333333333333333</v>
      </c>
      <c r="O39">
        <f t="shared" si="24"/>
        <v>0</v>
      </c>
      <c r="P39">
        <f t="shared" si="25"/>
        <v>0</v>
      </c>
    </row>
    <row r="40" spans="1:16" x14ac:dyDescent="0.3">
      <c r="A40" t="s">
        <v>24</v>
      </c>
      <c r="B40" s="8" t="s">
        <v>47</v>
      </c>
      <c r="C40" s="13">
        <v>15</v>
      </c>
      <c r="D40">
        <f t="shared" ref="D40" si="28">E40*F40*G40</f>
        <v>250</v>
      </c>
      <c r="E40" s="12">
        <v>5</v>
      </c>
      <c r="F40">
        <v>5</v>
      </c>
      <c r="G40">
        <v>10</v>
      </c>
      <c r="H40">
        <v>80</v>
      </c>
      <c r="I40">
        <v>0</v>
      </c>
      <c r="J40">
        <v>-12.5</v>
      </c>
      <c r="K40">
        <f t="shared" si="20"/>
        <v>8.3333333333333332E-3</v>
      </c>
      <c r="L40">
        <f t="shared" si="21"/>
        <v>8.3333333333333332E-3</v>
      </c>
      <c r="M40">
        <f t="shared" si="22"/>
        <v>1.6666666666666666E-2</v>
      </c>
      <c r="N40">
        <f t="shared" si="23"/>
        <v>0.13333333333333333</v>
      </c>
      <c r="O40">
        <f t="shared" si="24"/>
        <v>0</v>
      </c>
      <c r="P40">
        <f t="shared" si="25"/>
        <v>-2.0833333333333332E-2</v>
      </c>
    </row>
    <row r="41" spans="1:16" x14ac:dyDescent="0.3">
      <c r="A41" t="s">
        <v>42</v>
      </c>
      <c r="B41" s="8" t="s">
        <v>48</v>
      </c>
      <c r="C41" s="13">
        <v>159.77272727272728</v>
      </c>
      <c r="D41">
        <f t="shared" ref="D41:D52" si="29">E41*F41*G41</f>
        <v>960</v>
      </c>
      <c r="E41" s="12">
        <v>12</v>
      </c>
      <c r="F41">
        <v>10</v>
      </c>
      <c r="G41">
        <v>8</v>
      </c>
      <c r="H41">
        <v>440</v>
      </c>
      <c r="I41">
        <v>0</v>
      </c>
      <c r="J41">
        <v>0</v>
      </c>
      <c r="K41">
        <f t="shared" si="20"/>
        <v>0.02</v>
      </c>
      <c r="L41">
        <f t="shared" si="21"/>
        <v>1.6666666666666666E-2</v>
      </c>
      <c r="M41">
        <f t="shared" si="22"/>
        <v>1.3333333333333334E-2</v>
      </c>
      <c r="N41">
        <f t="shared" si="23"/>
        <v>0.73333333333333328</v>
      </c>
      <c r="O41">
        <f t="shared" si="24"/>
        <v>0</v>
      </c>
      <c r="P41">
        <f t="shared" si="25"/>
        <v>0</v>
      </c>
    </row>
    <row r="42" spans="1:16" x14ac:dyDescent="0.3">
      <c r="A42" t="s">
        <v>42</v>
      </c>
      <c r="B42" s="8" t="s">
        <v>50</v>
      </c>
      <c r="C42" s="13">
        <v>219.6875</v>
      </c>
      <c r="D42">
        <f t="shared" si="29"/>
        <v>1600</v>
      </c>
      <c r="E42" s="12">
        <v>16</v>
      </c>
      <c r="F42">
        <v>10</v>
      </c>
      <c r="G42">
        <v>10</v>
      </c>
      <c r="H42">
        <v>440</v>
      </c>
      <c r="I42">
        <v>0</v>
      </c>
      <c r="J42">
        <v>-10</v>
      </c>
      <c r="K42">
        <f t="shared" si="20"/>
        <v>2.6666666666666668E-2</v>
      </c>
      <c r="L42">
        <f t="shared" si="21"/>
        <v>1.6666666666666666E-2</v>
      </c>
      <c r="M42">
        <f t="shared" si="22"/>
        <v>1.6666666666666666E-2</v>
      </c>
      <c r="N42">
        <f t="shared" si="23"/>
        <v>0.73333333333333328</v>
      </c>
      <c r="O42">
        <f t="shared" si="24"/>
        <v>0</v>
      </c>
      <c r="P42">
        <f t="shared" si="25"/>
        <v>-1.6666666666666666E-2</v>
      </c>
    </row>
    <row r="43" spans="1:16" x14ac:dyDescent="0.3">
      <c r="A43" t="s">
        <v>42</v>
      </c>
      <c r="B43" s="8" t="s">
        <v>83</v>
      </c>
      <c r="C43" s="13">
        <v>40</v>
      </c>
      <c r="D43">
        <f t="shared" si="29"/>
        <v>432</v>
      </c>
      <c r="E43" s="12">
        <v>6</v>
      </c>
      <c r="F43">
        <v>12</v>
      </c>
      <c r="G43">
        <v>6</v>
      </c>
      <c r="H43">
        <v>410</v>
      </c>
      <c r="I43">
        <v>92.5</v>
      </c>
      <c r="J43">
        <v>-16</v>
      </c>
      <c r="K43">
        <f t="shared" si="20"/>
        <v>0.01</v>
      </c>
      <c r="L43">
        <f t="shared" si="21"/>
        <v>0.02</v>
      </c>
      <c r="M43">
        <f t="shared" si="22"/>
        <v>0.01</v>
      </c>
      <c r="N43">
        <f t="shared" si="23"/>
        <v>0.68333333333333335</v>
      </c>
      <c r="O43">
        <f t="shared" si="24"/>
        <v>0.15416666666666667</v>
      </c>
      <c r="P43">
        <f t="shared" si="25"/>
        <v>-2.6666666666666668E-2</v>
      </c>
    </row>
    <row r="44" spans="1:16" x14ac:dyDescent="0.3">
      <c r="A44" t="s">
        <v>42</v>
      </c>
      <c r="B44" s="8" t="s">
        <v>84</v>
      </c>
      <c r="C44" s="13">
        <v>40</v>
      </c>
      <c r="D44">
        <f t="shared" si="29"/>
        <v>432</v>
      </c>
      <c r="E44" s="12">
        <v>6</v>
      </c>
      <c r="F44">
        <v>12</v>
      </c>
      <c r="G44">
        <v>6</v>
      </c>
      <c r="H44">
        <v>410</v>
      </c>
      <c r="I44">
        <v>-92.5</v>
      </c>
      <c r="J44">
        <v>-16</v>
      </c>
      <c r="K44">
        <f t="shared" si="20"/>
        <v>0.01</v>
      </c>
      <c r="L44">
        <f t="shared" si="21"/>
        <v>0.02</v>
      </c>
      <c r="M44">
        <f t="shared" si="22"/>
        <v>0.01</v>
      </c>
      <c r="N44">
        <f t="shared" si="23"/>
        <v>0.68333333333333335</v>
      </c>
      <c r="O44">
        <f t="shared" si="24"/>
        <v>-0.15416666666666667</v>
      </c>
      <c r="P44">
        <f t="shared" si="25"/>
        <v>-2.6666666666666668E-2</v>
      </c>
    </row>
    <row r="45" spans="1:16" x14ac:dyDescent="0.3">
      <c r="A45" t="s">
        <v>42</v>
      </c>
      <c r="B45" s="8" t="s">
        <v>85</v>
      </c>
      <c r="C45" s="13">
        <v>40</v>
      </c>
      <c r="D45">
        <f t="shared" si="29"/>
        <v>432</v>
      </c>
      <c r="E45" s="12">
        <v>6</v>
      </c>
      <c r="F45">
        <v>12</v>
      </c>
      <c r="G45">
        <v>6</v>
      </c>
      <c r="H45">
        <v>390</v>
      </c>
      <c r="I45">
        <v>133</v>
      </c>
      <c r="J45">
        <v>-16</v>
      </c>
      <c r="K45">
        <f t="shared" si="20"/>
        <v>0.01</v>
      </c>
      <c r="L45">
        <f t="shared" si="21"/>
        <v>0.02</v>
      </c>
      <c r="M45">
        <f t="shared" si="22"/>
        <v>0.01</v>
      </c>
      <c r="N45">
        <f t="shared" si="23"/>
        <v>0.65</v>
      </c>
      <c r="O45">
        <f t="shared" si="24"/>
        <v>0.22166666666666668</v>
      </c>
      <c r="P45">
        <f t="shared" si="25"/>
        <v>-2.6666666666666668E-2</v>
      </c>
    </row>
    <row r="46" spans="1:16" x14ac:dyDescent="0.3">
      <c r="A46" t="s">
        <v>42</v>
      </c>
      <c r="B46" s="8" t="s">
        <v>86</v>
      </c>
      <c r="C46" s="13">
        <v>40</v>
      </c>
      <c r="D46">
        <f t="shared" ref="D46:D47" si="30">E46*F46*G46</f>
        <v>432</v>
      </c>
      <c r="E46" s="12">
        <v>6</v>
      </c>
      <c r="F46">
        <v>12</v>
      </c>
      <c r="G46">
        <v>6</v>
      </c>
      <c r="H46">
        <v>390</v>
      </c>
      <c r="I46">
        <v>-133</v>
      </c>
      <c r="J46">
        <v>-16</v>
      </c>
      <c r="K46">
        <f t="shared" si="20"/>
        <v>0.01</v>
      </c>
      <c r="L46">
        <f t="shared" si="21"/>
        <v>0.02</v>
      </c>
      <c r="M46">
        <f t="shared" si="22"/>
        <v>0.01</v>
      </c>
      <c r="N46">
        <f t="shared" si="23"/>
        <v>0.65</v>
      </c>
      <c r="O46">
        <f t="shared" si="24"/>
        <v>-0.22166666666666668</v>
      </c>
      <c r="P46">
        <f t="shared" si="25"/>
        <v>-2.6666666666666668E-2</v>
      </c>
    </row>
    <row r="47" spans="1:16" x14ac:dyDescent="0.3">
      <c r="A47" t="s">
        <v>42</v>
      </c>
      <c r="B47" s="8" t="s">
        <v>87</v>
      </c>
      <c r="C47" s="13">
        <v>40</v>
      </c>
      <c r="D47">
        <f t="shared" si="30"/>
        <v>432</v>
      </c>
      <c r="E47" s="12">
        <v>6</v>
      </c>
      <c r="F47">
        <v>12</v>
      </c>
      <c r="G47">
        <v>6</v>
      </c>
      <c r="H47">
        <v>330</v>
      </c>
      <c r="I47">
        <v>133</v>
      </c>
      <c r="J47">
        <v>-16</v>
      </c>
      <c r="K47">
        <f t="shared" si="20"/>
        <v>0.01</v>
      </c>
      <c r="L47">
        <f t="shared" si="21"/>
        <v>0.02</v>
      </c>
      <c r="M47">
        <f t="shared" si="22"/>
        <v>0.01</v>
      </c>
      <c r="N47">
        <f t="shared" si="23"/>
        <v>0.55000000000000004</v>
      </c>
      <c r="O47">
        <f t="shared" si="24"/>
        <v>0.22166666666666668</v>
      </c>
      <c r="P47">
        <f t="shared" si="25"/>
        <v>-2.6666666666666668E-2</v>
      </c>
    </row>
    <row r="48" spans="1:16" x14ac:dyDescent="0.3">
      <c r="A48" t="s">
        <v>42</v>
      </c>
      <c r="B48" s="8" t="s">
        <v>88</v>
      </c>
      <c r="C48" s="13">
        <v>40</v>
      </c>
      <c r="D48">
        <f t="shared" ref="D48:D50" si="31">E48*F48*G48</f>
        <v>432</v>
      </c>
      <c r="E48" s="12">
        <v>6</v>
      </c>
      <c r="F48">
        <v>12</v>
      </c>
      <c r="G48">
        <v>6</v>
      </c>
      <c r="H48">
        <v>330</v>
      </c>
      <c r="I48">
        <v>-133</v>
      </c>
      <c r="J48">
        <v>-16</v>
      </c>
      <c r="K48">
        <f t="shared" si="20"/>
        <v>0.01</v>
      </c>
      <c r="L48">
        <f t="shared" si="21"/>
        <v>0.02</v>
      </c>
      <c r="M48">
        <f t="shared" si="22"/>
        <v>0.01</v>
      </c>
      <c r="N48">
        <f t="shared" si="23"/>
        <v>0.55000000000000004</v>
      </c>
      <c r="O48">
        <f t="shared" si="24"/>
        <v>-0.22166666666666668</v>
      </c>
      <c r="P48">
        <f t="shared" si="25"/>
        <v>-2.6666666666666668E-2</v>
      </c>
    </row>
    <row r="49" spans="1:20" x14ac:dyDescent="0.3">
      <c r="A49" t="s">
        <v>42</v>
      </c>
      <c r="B49" s="8" t="s">
        <v>91</v>
      </c>
      <c r="C49" s="13">
        <v>40</v>
      </c>
      <c r="D49">
        <f t="shared" si="31"/>
        <v>432</v>
      </c>
      <c r="E49" s="12">
        <v>6</v>
      </c>
      <c r="F49">
        <v>6</v>
      </c>
      <c r="G49">
        <v>12</v>
      </c>
      <c r="H49">
        <v>570</v>
      </c>
      <c r="I49">
        <v>50</v>
      </c>
      <c r="J49">
        <v>-50</v>
      </c>
      <c r="K49">
        <f t="shared" si="20"/>
        <v>0.01</v>
      </c>
      <c r="L49">
        <f t="shared" si="21"/>
        <v>0.01</v>
      </c>
      <c r="M49">
        <f t="shared" si="22"/>
        <v>0.02</v>
      </c>
      <c r="N49">
        <f t="shared" si="23"/>
        <v>0.95</v>
      </c>
      <c r="O49">
        <f t="shared" si="24"/>
        <v>8.3333333333333329E-2</v>
      </c>
      <c r="P49">
        <f t="shared" si="25"/>
        <v>-8.3333333333333329E-2</v>
      </c>
    </row>
    <row r="50" spans="1:20" x14ac:dyDescent="0.3">
      <c r="A50" t="s">
        <v>42</v>
      </c>
      <c r="B50" s="8" t="s">
        <v>92</v>
      </c>
      <c r="C50" s="13">
        <v>40</v>
      </c>
      <c r="D50">
        <f t="shared" si="31"/>
        <v>432</v>
      </c>
      <c r="E50" s="12">
        <v>6</v>
      </c>
      <c r="F50">
        <v>6</v>
      </c>
      <c r="G50">
        <v>12</v>
      </c>
      <c r="H50">
        <v>570</v>
      </c>
      <c r="I50">
        <v>-50</v>
      </c>
      <c r="J50">
        <v>-50</v>
      </c>
      <c r="K50">
        <f t="shared" si="20"/>
        <v>0.01</v>
      </c>
      <c r="L50">
        <f t="shared" si="21"/>
        <v>0.01</v>
      </c>
      <c r="M50">
        <f t="shared" si="22"/>
        <v>0.02</v>
      </c>
      <c r="N50">
        <f t="shared" si="23"/>
        <v>0.95</v>
      </c>
      <c r="O50">
        <f t="shared" si="24"/>
        <v>-8.3333333333333329E-2</v>
      </c>
      <c r="P50">
        <f t="shared" si="25"/>
        <v>-8.3333333333333329E-2</v>
      </c>
    </row>
    <row r="51" spans="1:20" x14ac:dyDescent="0.3">
      <c r="A51" t="s">
        <v>42</v>
      </c>
      <c r="B51" s="8" t="s">
        <v>89</v>
      </c>
      <c r="C51" s="13">
        <v>40</v>
      </c>
      <c r="D51">
        <f t="shared" si="29"/>
        <v>432</v>
      </c>
      <c r="E51" s="12">
        <v>6</v>
      </c>
      <c r="F51">
        <v>12</v>
      </c>
      <c r="G51">
        <v>6</v>
      </c>
      <c r="H51">
        <v>565</v>
      </c>
      <c r="I51">
        <v>83</v>
      </c>
      <c r="J51">
        <v>-3</v>
      </c>
      <c r="K51">
        <f t="shared" si="20"/>
        <v>0.01</v>
      </c>
      <c r="L51">
        <f t="shared" si="21"/>
        <v>0.02</v>
      </c>
      <c r="M51">
        <f t="shared" si="22"/>
        <v>0.01</v>
      </c>
      <c r="N51">
        <f t="shared" si="23"/>
        <v>0.94166666666666665</v>
      </c>
      <c r="O51">
        <f t="shared" si="24"/>
        <v>0.13833333333333334</v>
      </c>
      <c r="P51">
        <f t="shared" si="25"/>
        <v>-5.0000000000000001E-3</v>
      </c>
    </row>
    <row r="52" spans="1:20" x14ac:dyDescent="0.3">
      <c r="A52" t="s">
        <v>42</v>
      </c>
      <c r="B52" s="8" t="s">
        <v>90</v>
      </c>
      <c r="C52" s="13">
        <v>40</v>
      </c>
      <c r="D52">
        <f t="shared" si="29"/>
        <v>432</v>
      </c>
      <c r="E52" s="12">
        <v>6</v>
      </c>
      <c r="F52">
        <v>12</v>
      </c>
      <c r="G52">
        <v>6</v>
      </c>
      <c r="H52">
        <v>565</v>
      </c>
      <c r="I52">
        <v>-83</v>
      </c>
      <c r="J52">
        <v>-3</v>
      </c>
      <c r="K52">
        <f t="shared" si="20"/>
        <v>0.01</v>
      </c>
      <c r="L52">
        <f t="shared" si="21"/>
        <v>0.02</v>
      </c>
      <c r="M52">
        <f t="shared" si="22"/>
        <v>0.01</v>
      </c>
      <c r="N52">
        <f t="shared" si="23"/>
        <v>0.94166666666666665</v>
      </c>
      <c r="O52">
        <f t="shared" si="24"/>
        <v>-0.13833333333333334</v>
      </c>
      <c r="P52">
        <f t="shared" si="25"/>
        <v>-5.0000000000000001E-3</v>
      </c>
      <c r="S52" t="s">
        <v>123</v>
      </c>
      <c r="T52">
        <v>0.1</v>
      </c>
    </row>
    <row r="53" spans="1:20" x14ac:dyDescent="0.3">
      <c r="A53" t="s">
        <v>52</v>
      </c>
      <c r="B53" s="8" t="s">
        <v>82</v>
      </c>
      <c r="C53" s="13">
        <v>1250</v>
      </c>
      <c r="D53">
        <f>E53*F53*G53</f>
        <v>34560</v>
      </c>
      <c r="E53" s="12">
        <v>72</v>
      </c>
      <c r="F53">
        <v>32</v>
      </c>
      <c r="G53">
        <v>15</v>
      </c>
      <c r="H53">
        <v>450</v>
      </c>
      <c r="I53">
        <v>30</v>
      </c>
      <c r="J53">
        <v>22</v>
      </c>
      <c r="K53">
        <f t="shared" si="20"/>
        <v>0.12</v>
      </c>
      <c r="L53">
        <f t="shared" si="21"/>
        <v>5.3333333333333337E-2</v>
      </c>
      <c r="M53">
        <f t="shared" si="22"/>
        <v>2.5000000000000001E-2</v>
      </c>
      <c r="N53">
        <f t="shared" si="23"/>
        <v>0.75</v>
      </c>
      <c r="O53">
        <f t="shared" si="24"/>
        <v>0.05</v>
      </c>
      <c r="P53">
        <f t="shared" si="25"/>
        <v>3.6666666666666667E-2</v>
      </c>
      <c r="S53" t="s">
        <v>124</v>
      </c>
      <c r="T53">
        <v>0.06</v>
      </c>
    </row>
    <row r="54" spans="1:20" x14ac:dyDescent="0.3">
      <c r="A54" t="s">
        <v>52</v>
      </c>
      <c r="B54" s="8" t="s">
        <v>81</v>
      </c>
      <c r="C54" s="13">
        <v>1250</v>
      </c>
      <c r="D54">
        <f t="shared" ref="D54:D71" si="32">E54*F54*G54</f>
        <v>34560</v>
      </c>
      <c r="E54" s="12">
        <v>72</v>
      </c>
      <c r="F54">
        <v>32</v>
      </c>
      <c r="G54">
        <v>15</v>
      </c>
      <c r="H54">
        <v>450</v>
      </c>
      <c r="I54">
        <v>-30</v>
      </c>
      <c r="J54">
        <v>22</v>
      </c>
      <c r="K54">
        <f t="shared" si="20"/>
        <v>0.12</v>
      </c>
      <c r="L54">
        <f t="shared" si="21"/>
        <v>5.3333333333333337E-2</v>
      </c>
      <c r="M54">
        <f t="shared" si="22"/>
        <v>2.5000000000000001E-2</v>
      </c>
      <c r="N54">
        <f t="shared" si="23"/>
        <v>0.75</v>
      </c>
      <c r="O54">
        <f t="shared" si="24"/>
        <v>-0.05</v>
      </c>
      <c r="P54">
        <f t="shared" si="25"/>
        <v>3.6666666666666667E-2</v>
      </c>
    </row>
    <row r="55" spans="1:20" x14ac:dyDescent="0.3">
      <c r="A55" t="s">
        <v>52</v>
      </c>
      <c r="B55" s="24" t="s">
        <v>66</v>
      </c>
      <c r="C55" s="13">
        <v>600</v>
      </c>
      <c r="D55">
        <f t="shared" si="32"/>
        <v>15840</v>
      </c>
      <c r="E55" s="12">
        <v>72</v>
      </c>
      <c r="F55">
        <v>22</v>
      </c>
      <c r="G55">
        <v>10</v>
      </c>
      <c r="H55">
        <v>130</v>
      </c>
      <c r="I55">
        <v>0</v>
      </c>
      <c r="J55">
        <v>10</v>
      </c>
      <c r="K55">
        <f t="shared" si="20"/>
        <v>0.12</v>
      </c>
      <c r="L55">
        <f t="shared" si="21"/>
        <v>3.6666666666666667E-2</v>
      </c>
      <c r="M55">
        <f t="shared" si="22"/>
        <v>1.6666666666666666E-2</v>
      </c>
      <c r="N55">
        <f t="shared" si="23"/>
        <v>0.21666666666666667</v>
      </c>
      <c r="O55">
        <f t="shared" si="24"/>
        <v>0</v>
      </c>
      <c r="P55">
        <f t="shared" si="25"/>
        <v>1.6666666666666666E-2</v>
      </c>
    </row>
    <row r="56" spans="1:20" x14ac:dyDescent="0.3">
      <c r="A56" t="s">
        <v>42</v>
      </c>
      <c r="B56" s="8" t="s">
        <v>93</v>
      </c>
      <c r="C56" s="13">
        <v>40</v>
      </c>
      <c r="D56">
        <f t="shared" ref="D56" si="33">E56*F56*G56</f>
        <v>432</v>
      </c>
      <c r="E56" s="12">
        <v>12</v>
      </c>
      <c r="F56">
        <v>6</v>
      </c>
      <c r="G56">
        <v>6</v>
      </c>
      <c r="H56">
        <v>355</v>
      </c>
      <c r="I56">
        <v>175</v>
      </c>
      <c r="J56">
        <v>-18</v>
      </c>
      <c r="K56">
        <f t="shared" si="20"/>
        <v>0.02</v>
      </c>
      <c r="L56">
        <f t="shared" si="21"/>
        <v>0.01</v>
      </c>
      <c r="M56">
        <f t="shared" si="22"/>
        <v>0.01</v>
      </c>
      <c r="N56">
        <f t="shared" si="23"/>
        <v>0.59166666666666667</v>
      </c>
      <c r="O56">
        <f t="shared" si="24"/>
        <v>0.29166666666666669</v>
      </c>
      <c r="P56">
        <f t="shared" si="25"/>
        <v>-0.03</v>
      </c>
    </row>
    <row r="57" spans="1:20" x14ac:dyDescent="0.3">
      <c r="A57" t="s">
        <v>42</v>
      </c>
      <c r="B57" s="8" t="s">
        <v>94</v>
      </c>
      <c r="C57" s="13">
        <v>40</v>
      </c>
      <c r="D57">
        <f t="shared" si="32"/>
        <v>432</v>
      </c>
      <c r="E57" s="12">
        <v>12</v>
      </c>
      <c r="F57">
        <v>6</v>
      </c>
      <c r="G57">
        <v>6</v>
      </c>
      <c r="H57">
        <v>355</v>
      </c>
      <c r="I57">
        <v>-175</v>
      </c>
      <c r="J57">
        <v>-18</v>
      </c>
      <c r="K57">
        <f t="shared" si="20"/>
        <v>0.02</v>
      </c>
      <c r="L57">
        <f t="shared" si="21"/>
        <v>0.01</v>
      </c>
      <c r="M57">
        <f t="shared" si="22"/>
        <v>0.01</v>
      </c>
      <c r="N57">
        <f t="shared" si="23"/>
        <v>0.59166666666666667</v>
      </c>
      <c r="O57">
        <f t="shared" si="24"/>
        <v>-0.29166666666666669</v>
      </c>
      <c r="P57">
        <f t="shared" si="25"/>
        <v>-0.03</v>
      </c>
    </row>
    <row r="58" spans="1:20" x14ac:dyDescent="0.3">
      <c r="A58" t="s">
        <v>22</v>
      </c>
      <c r="B58" s="1" t="s">
        <v>99</v>
      </c>
      <c r="C58" s="13">
        <v>188</v>
      </c>
      <c r="D58">
        <f t="shared" si="32"/>
        <v>34391</v>
      </c>
      <c r="E58" s="12">
        <v>119</v>
      </c>
      <c r="F58">
        <v>17</v>
      </c>
      <c r="G58">
        <v>17</v>
      </c>
      <c r="H58">
        <v>360</v>
      </c>
      <c r="I58">
        <v>190</v>
      </c>
      <c r="J58">
        <v>-4</v>
      </c>
      <c r="K58">
        <f t="shared" si="20"/>
        <v>0.19833333333333333</v>
      </c>
      <c r="L58">
        <f t="shared" si="21"/>
        <v>2.8333333333333332E-2</v>
      </c>
      <c r="M58">
        <f t="shared" si="22"/>
        <v>2.8333333333333332E-2</v>
      </c>
      <c r="N58">
        <f t="shared" si="23"/>
        <v>0.6</v>
      </c>
      <c r="O58">
        <f t="shared" si="24"/>
        <v>0.31666666666666665</v>
      </c>
      <c r="P58">
        <f t="shared" si="25"/>
        <v>-6.6666666666666671E-3</v>
      </c>
    </row>
    <row r="59" spans="1:20" x14ac:dyDescent="0.3">
      <c r="A59" t="s">
        <v>22</v>
      </c>
      <c r="B59" s="1" t="s">
        <v>99</v>
      </c>
      <c r="C59" s="13">
        <v>188</v>
      </c>
      <c r="D59">
        <f t="shared" si="32"/>
        <v>34391</v>
      </c>
      <c r="E59" s="12">
        <v>119</v>
      </c>
      <c r="F59">
        <v>17</v>
      </c>
      <c r="G59">
        <v>17</v>
      </c>
      <c r="H59">
        <v>360</v>
      </c>
      <c r="I59">
        <v>-190</v>
      </c>
      <c r="J59">
        <v>-4</v>
      </c>
      <c r="K59">
        <f t="shared" si="20"/>
        <v>0.19833333333333333</v>
      </c>
      <c r="L59">
        <f t="shared" si="21"/>
        <v>2.8333333333333332E-2</v>
      </c>
      <c r="M59">
        <f t="shared" si="22"/>
        <v>2.8333333333333332E-2</v>
      </c>
      <c r="N59">
        <f t="shared" si="23"/>
        <v>0.6</v>
      </c>
      <c r="O59">
        <f t="shared" si="24"/>
        <v>-0.31666666666666665</v>
      </c>
      <c r="P59">
        <f t="shared" si="25"/>
        <v>-6.6666666666666671E-3</v>
      </c>
    </row>
    <row r="60" spans="1:20" x14ac:dyDescent="0.3">
      <c r="A60" t="s">
        <v>22</v>
      </c>
      <c r="B60" s="6" t="s">
        <v>74</v>
      </c>
      <c r="C60" s="13">
        <v>135.19230769230768</v>
      </c>
      <c r="D60">
        <f t="shared" si="32"/>
        <v>22540</v>
      </c>
      <c r="E60" s="12">
        <v>115</v>
      </c>
      <c r="F60">
        <v>14</v>
      </c>
      <c r="G60">
        <v>14</v>
      </c>
      <c r="H60">
        <v>360</v>
      </c>
      <c r="I60">
        <v>190</v>
      </c>
      <c r="J60">
        <v>-11</v>
      </c>
      <c r="K60">
        <f t="shared" si="20"/>
        <v>0.19166666666666668</v>
      </c>
      <c r="L60">
        <f t="shared" si="21"/>
        <v>2.3333333333333334E-2</v>
      </c>
      <c r="M60">
        <f t="shared" si="22"/>
        <v>2.3333333333333334E-2</v>
      </c>
      <c r="N60">
        <f t="shared" si="23"/>
        <v>0.6</v>
      </c>
      <c r="O60">
        <f t="shared" si="24"/>
        <v>0.31666666666666665</v>
      </c>
      <c r="P60">
        <f t="shared" si="25"/>
        <v>-1.8333333333333333E-2</v>
      </c>
    </row>
    <row r="61" spans="1:20" x14ac:dyDescent="0.3">
      <c r="A61" t="s">
        <v>22</v>
      </c>
      <c r="B61" s="6" t="s">
        <v>73</v>
      </c>
      <c r="C61" s="13">
        <v>135.19230769230768</v>
      </c>
      <c r="D61">
        <f t="shared" si="32"/>
        <v>22540</v>
      </c>
      <c r="E61" s="12">
        <v>115</v>
      </c>
      <c r="F61">
        <v>14</v>
      </c>
      <c r="G61">
        <v>14</v>
      </c>
      <c r="H61">
        <v>360</v>
      </c>
      <c r="I61">
        <v>-190</v>
      </c>
      <c r="J61">
        <v>-11</v>
      </c>
      <c r="K61">
        <f t="shared" si="20"/>
        <v>0.19166666666666668</v>
      </c>
      <c r="L61">
        <f t="shared" si="21"/>
        <v>2.3333333333333334E-2</v>
      </c>
      <c r="M61">
        <f t="shared" si="22"/>
        <v>2.3333333333333334E-2</v>
      </c>
      <c r="N61">
        <f t="shared" si="23"/>
        <v>0.6</v>
      </c>
      <c r="O61">
        <f t="shared" si="24"/>
        <v>-0.31666666666666665</v>
      </c>
      <c r="P61">
        <f t="shared" si="25"/>
        <v>-1.8333333333333333E-2</v>
      </c>
    </row>
    <row r="62" spans="1:20" x14ac:dyDescent="0.3">
      <c r="A62" t="s">
        <v>21</v>
      </c>
      <c r="B62" s="8" t="s">
        <v>55</v>
      </c>
      <c r="C62" s="13">
        <v>50</v>
      </c>
      <c r="D62">
        <f t="shared" si="32"/>
        <v>480</v>
      </c>
      <c r="E62" s="12">
        <v>8</v>
      </c>
      <c r="F62">
        <v>5</v>
      </c>
      <c r="G62">
        <v>12</v>
      </c>
      <c r="H62">
        <v>160</v>
      </c>
      <c r="I62">
        <v>20</v>
      </c>
      <c r="J62">
        <v>3</v>
      </c>
      <c r="K62">
        <f t="shared" si="20"/>
        <v>1.3333333333333334E-2</v>
      </c>
      <c r="L62">
        <f t="shared" si="21"/>
        <v>8.3333333333333332E-3</v>
      </c>
      <c r="M62">
        <f t="shared" si="22"/>
        <v>0.02</v>
      </c>
      <c r="N62">
        <f t="shared" si="23"/>
        <v>0.26666666666666666</v>
      </c>
      <c r="O62">
        <f t="shared" si="24"/>
        <v>3.3333333333333333E-2</v>
      </c>
      <c r="P62">
        <f t="shared" si="25"/>
        <v>5.0000000000000001E-3</v>
      </c>
    </row>
    <row r="63" spans="1:20" x14ac:dyDescent="0.3">
      <c r="A63" t="s">
        <v>51</v>
      </c>
      <c r="B63" s="22" t="s">
        <v>56</v>
      </c>
      <c r="C63" s="13">
        <v>250</v>
      </c>
      <c r="D63">
        <f t="shared" si="32"/>
        <v>7875</v>
      </c>
      <c r="E63" s="12">
        <v>35</v>
      </c>
      <c r="F63">
        <v>15</v>
      </c>
      <c r="G63">
        <v>15</v>
      </c>
      <c r="H63">
        <v>450</v>
      </c>
      <c r="I63">
        <v>0</v>
      </c>
      <c r="J63">
        <v>20</v>
      </c>
      <c r="K63">
        <f t="shared" si="20"/>
        <v>5.8333333333333334E-2</v>
      </c>
      <c r="L63">
        <f t="shared" si="21"/>
        <v>2.5000000000000001E-2</v>
      </c>
      <c r="M63">
        <f t="shared" si="22"/>
        <v>2.5000000000000001E-2</v>
      </c>
      <c r="N63">
        <f t="shared" si="23"/>
        <v>0.75</v>
      </c>
      <c r="O63">
        <f t="shared" si="24"/>
        <v>0</v>
      </c>
      <c r="P63">
        <f t="shared" si="25"/>
        <v>3.3333333333333333E-2</v>
      </c>
    </row>
    <row r="64" spans="1:20" x14ac:dyDescent="0.3">
      <c r="A64" t="s">
        <v>36</v>
      </c>
      <c r="B64" s="8" t="s">
        <v>57</v>
      </c>
      <c r="C64" s="13">
        <v>20</v>
      </c>
      <c r="D64">
        <f t="shared" si="32"/>
        <v>320</v>
      </c>
      <c r="E64" s="12">
        <v>20</v>
      </c>
      <c r="F64">
        <v>4</v>
      </c>
      <c r="G64">
        <v>4</v>
      </c>
      <c r="H64">
        <v>150</v>
      </c>
      <c r="I64">
        <v>20</v>
      </c>
      <c r="J64">
        <v>-22</v>
      </c>
      <c r="K64">
        <f t="shared" si="20"/>
        <v>3.3333333333333333E-2</v>
      </c>
      <c r="L64">
        <f t="shared" si="21"/>
        <v>6.6666666666666671E-3</v>
      </c>
      <c r="M64">
        <f t="shared" si="22"/>
        <v>6.6666666666666671E-3</v>
      </c>
      <c r="N64">
        <f t="shared" si="23"/>
        <v>0.25</v>
      </c>
      <c r="O64">
        <f t="shared" si="24"/>
        <v>3.3333333333333333E-2</v>
      </c>
      <c r="P64">
        <f t="shared" si="25"/>
        <v>-3.6666666666666667E-2</v>
      </c>
    </row>
    <row r="65" spans="1:21" x14ac:dyDescent="0.3">
      <c r="A65" t="s">
        <v>21</v>
      </c>
      <c r="B65" s="8" t="s">
        <v>58</v>
      </c>
      <c r="C65" s="13">
        <v>15</v>
      </c>
      <c r="D65">
        <f t="shared" si="32"/>
        <v>160</v>
      </c>
      <c r="E65" s="12">
        <v>4</v>
      </c>
      <c r="F65">
        <v>4</v>
      </c>
      <c r="G65">
        <v>10</v>
      </c>
      <c r="H65">
        <v>180</v>
      </c>
      <c r="I65">
        <v>20</v>
      </c>
      <c r="J65">
        <v>-25</v>
      </c>
      <c r="K65">
        <f t="shared" si="20"/>
        <v>6.6666666666666671E-3</v>
      </c>
      <c r="L65">
        <f t="shared" si="21"/>
        <v>6.6666666666666671E-3</v>
      </c>
      <c r="M65">
        <f t="shared" si="22"/>
        <v>1.6666666666666666E-2</v>
      </c>
      <c r="N65">
        <f t="shared" si="23"/>
        <v>0.3</v>
      </c>
      <c r="O65">
        <f t="shared" si="24"/>
        <v>3.3333333333333333E-2</v>
      </c>
      <c r="P65">
        <f t="shared" si="25"/>
        <v>-4.1666666666666664E-2</v>
      </c>
    </row>
    <row r="66" spans="1:21" x14ac:dyDescent="0.3">
      <c r="A66" t="s">
        <v>21</v>
      </c>
      <c r="B66" s="8" t="s">
        <v>59</v>
      </c>
      <c r="C66" s="13">
        <v>245</v>
      </c>
      <c r="D66">
        <f t="shared" si="32"/>
        <v>36608</v>
      </c>
      <c r="E66">
        <v>32</v>
      </c>
      <c r="F66">
        <v>22</v>
      </c>
      <c r="G66">
        <v>52</v>
      </c>
      <c r="H66">
        <v>200</v>
      </c>
      <c r="I66">
        <v>0</v>
      </c>
      <c r="J66">
        <v>-20</v>
      </c>
      <c r="K66">
        <f t="shared" si="20"/>
        <v>5.3333333333333337E-2</v>
      </c>
      <c r="L66">
        <f t="shared" si="21"/>
        <v>3.6666666666666667E-2</v>
      </c>
      <c r="M66">
        <f t="shared" si="22"/>
        <v>8.666666666666667E-2</v>
      </c>
      <c r="N66">
        <f t="shared" si="23"/>
        <v>0.33333333333333331</v>
      </c>
      <c r="O66">
        <f t="shared" si="24"/>
        <v>0</v>
      </c>
      <c r="P66">
        <f t="shared" si="25"/>
        <v>-3.3333333333333333E-2</v>
      </c>
    </row>
    <row r="67" spans="1:21" x14ac:dyDescent="0.3">
      <c r="A67" t="s">
        <v>21</v>
      </c>
      <c r="B67" s="8" t="s">
        <v>60</v>
      </c>
      <c r="C67" s="13">
        <v>200</v>
      </c>
      <c r="D67">
        <f t="shared" si="32"/>
        <v>832</v>
      </c>
      <c r="E67" s="12">
        <v>8</v>
      </c>
      <c r="F67">
        <v>8</v>
      </c>
      <c r="G67">
        <v>13</v>
      </c>
      <c r="H67">
        <v>155</v>
      </c>
      <c r="I67">
        <v>0</v>
      </c>
      <c r="J67">
        <v>-33</v>
      </c>
      <c r="K67">
        <f t="shared" ref="K67:K90" si="34">E67/$T$3</f>
        <v>1.3333333333333334E-2</v>
      </c>
      <c r="L67">
        <f t="shared" ref="L67:L90" si="35">F67/$T$3</f>
        <v>1.3333333333333334E-2</v>
      </c>
      <c r="M67">
        <f t="shared" ref="M67:M90" si="36">G67/$T$3</f>
        <v>2.1666666666666667E-2</v>
      </c>
      <c r="N67">
        <f t="shared" ref="N67:N90" si="37">H67/$T$3</f>
        <v>0.25833333333333336</v>
      </c>
      <c r="O67">
        <f t="shared" ref="O67:O90" si="38">I67/$T$3</f>
        <v>0</v>
      </c>
      <c r="P67">
        <f t="shared" ref="P67:P90" si="39">J67/$T$3</f>
        <v>-5.5E-2</v>
      </c>
    </row>
    <row r="68" spans="1:21" x14ac:dyDescent="0.3">
      <c r="A68" t="s">
        <v>24</v>
      </c>
      <c r="B68" s="8" t="s">
        <v>61</v>
      </c>
      <c r="C68" s="13">
        <v>25</v>
      </c>
      <c r="D68">
        <f t="shared" si="32"/>
        <v>160</v>
      </c>
      <c r="E68" s="12">
        <v>10</v>
      </c>
      <c r="F68">
        <v>4</v>
      </c>
      <c r="G68">
        <v>4</v>
      </c>
      <c r="H68">
        <v>90</v>
      </c>
      <c r="I68">
        <v>0</v>
      </c>
      <c r="J68">
        <v>-10</v>
      </c>
      <c r="K68">
        <f t="shared" si="34"/>
        <v>1.6666666666666666E-2</v>
      </c>
      <c r="L68">
        <f t="shared" si="35"/>
        <v>6.6666666666666671E-3</v>
      </c>
      <c r="M68">
        <f t="shared" si="36"/>
        <v>6.6666666666666671E-3</v>
      </c>
      <c r="N68">
        <f t="shared" si="37"/>
        <v>0.15</v>
      </c>
      <c r="O68">
        <f t="shared" si="38"/>
        <v>0</v>
      </c>
      <c r="P68">
        <f t="shared" si="39"/>
        <v>-1.6666666666666666E-2</v>
      </c>
    </row>
    <row r="69" spans="1:21" x14ac:dyDescent="0.3">
      <c r="A69" t="s">
        <v>34</v>
      </c>
      <c r="B69" s="23" t="s">
        <v>62</v>
      </c>
      <c r="C69" s="19">
        <v>3920</v>
      </c>
      <c r="D69">
        <f t="shared" si="32"/>
        <v>226992.5</v>
      </c>
      <c r="E69" s="20">
        <v>185.3</v>
      </c>
      <c r="F69" s="18">
        <v>35</v>
      </c>
      <c r="G69" s="18">
        <v>35</v>
      </c>
      <c r="H69" s="18">
        <v>525</v>
      </c>
      <c r="I69" s="18">
        <v>25</v>
      </c>
      <c r="J69" s="21">
        <v>0</v>
      </c>
      <c r="K69">
        <f t="shared" si="34"/>
        <v>0.30883333333333335</v>
      </c>
      <c r="L69">
        <f t="shared" si="35"/>
        <v>5.8333333333333334E-2</v>
      </c>
      <c r="M69">
        <f t="shared" si="36"/>
        <v>5.8333333333333334E-2</v>
      </c>
      <c r="N69">
        <f t="shared" si="37"/>
        <v>0.875</v>
      </c>
      <c r="O69">
        <f t="shared" si="38"/>
        <v>4.1666666666666664E-2</v>
      </c>
      <c r="P69">
        <f t="shared" si="39"/>
        <v>0</v>
      </c>
    </row>
    <row r="70" spans="1:21" x14ac:dyDescent="0.3">
      <c r="A70" t="s">
        <v>34</v>
      </c>
      <c r="B70" s="23" t="s">
        <v>63</v>
      </c>
      <c r="C70" s="19">
        <v>3920</v>
      </c>
      <c r="D70">
        <f t="shared" si="32"/>
        <v>226992.5</v>
      </c>
      <c r="E70" s="20">
        <v>185.3</v>
      </c>
      <c r="F70" s="18">
        <v>35</v>
      </c>
      <c r="G70" s="18">
        <v>35</v>
      </c>
      <c r="H70" s="18">
        <v>525</v>
      </c>
      <c r="I70" s="18">
        <v>-25</v>
      </c>
      <c r="J70" s="21">
        <v>0</v>
      </c>
      <c r="K70">
        <f t="shared" si="34"/>
        <v>0.30883333333333335</v>
      </c>
      <c r="L70">
        <f t="shared" si="35"/>
        <v>5.8333333333333334E-2</v>
      </c>
      <c r="M70">
        <f t="shared" si="36"/>
        <v>5.8333333333333334E-2</v>
      </c>
      <c r="N70">
        <f t="shared" si="37"/>
        <v>0.875</v>
      </c>
      <c r="O70">
        <f t="shared" si="38"/>
        <v>-4.1666666666666664E-2</v>
      </c>
      <c r="P70">
        <f t="shared" si="39"/>
        <v>0</v>
      </c>
    </row>
    <row r="71" spans="1:21" x14ac:dyDescent="0.3">
      <c r="A71" t="s">
        <v>19</v>
      </c>
      <c r="B71" s="23" t="s">
        <v>64</v>
      </c>
      <c r="C71" s="20">
        <v>14.135</v>
      </c>
      <c r="D71" s="13">
        <f t="shared" si="32"/>
        <v>2440</v>
      </c>
      <c r="E71" s="18">
        <v>24.4</v>
      </c>
      <c r="F71" s="18">
        <v>10</v>
      </c>
      <c r="G71" s="18">
        <v>10</v>
      </c>
      <c r="H71" s="18">
        <v>570</v>
      </c>
      <c r="I71" s="18">
        <v>0</v>
      </c>
      <c r="J71" s="21">
        <v>-12.5</v>
      </c>
      <c r="K71">
        <f t="shared" si="34"/>
        <v>4.0666666666666663E-2</v>
      </c>
      <c r="L71">
        <f t="shared" si="35"/>
        <v>1.6666666666666666E-2</v>
      </c>
      <c r="M71">
        <f t="shared" si="36"/>
        <v>1.6666666666666666E-2</v>
      </c>
      <c r="N71">
        <f t="shared" si="37"/>
        <v>0.95</v>
      </c>
      <c r="O71">
        <f t="shared" si="38"/>
        <v>0</v>
      </c>
      <c r="P71">
        <f t="shared" si="39"/>
        <v>-2.0833333333333332E-2</v>
      </c>
    </row>
    <row r="72" spans="1:21" x14ac:dyDescent="0.3">
      <c r="A72" t="s">
        <v>38</v>
      </c>
      <c r="B72" s="28" t="s">
        <v>103</v>
      </c>
      <c r="C72" s="25">
        <f>D72*0.004329*6.7</f>
        <v>3625.5374999999999</v>
      </c>
      <c r="D72" s="27">
        <v>125000</v>
      </c>
      <c r="E72" s="12">
        <f>D72/F72/G72</f>
        <v>62.5</v>
      </c>
      <c r="F72" s="26">
        <v>40</v>
      </c>
      <c r="G72" s="18">
        <v>50</v>
      </c>
      <c r="H72" s="18">
        <v>250</v>
      </c>
      <c r="I72" s="18">
        <v>0</v>
      </c>
      <c r="J72" s="14">
        <v>0</v>
      </c>
      <c r="K72">
        <f t="shared" si="34"/>
        <v>0.10416666666666667</v>
      </c>
      <c r="L72">
        <f t="shared" si="35"/>
        <v>6.6666666666666666E-2</v>
      </c>
      <c r="M72">
        <f t="shared" si="36"/>
        <v>8.3333333333333329E-2</v>
      </c>
      <c r="N72">
        <f t="shared" si="37"/>
        <v>0.41666666666666669</v>
      </c>
      <c r="O72">
        <f t="shared" si="38"/>
        <v>0</v>
      </c>
      <c r="P72">
        <f t="shared" si="39"/>
        <v>0</v>
      </c>
    </row>
    <row r="73" spans="1:21" x14ac:dyDescent="0.3">
      <c r="A73" t="s">
        <v>38</v>
      </c>
      <c r="B73" s="28" t="s">
        <v>104</v>
      </c>
      <c r="C73" s="25">
        <f t="shared" ref="C73:C75" si="40">D73*0.004329*6.7</f>
        <v>4350.6450000000004</v>
      </c>
      <c r="D73" s="27">
        <v>150000</v>
      </c>
      <c r="E73" s="12">
        <f t="shared" ref="E73:E74" si="41">D73/F73/G73</f>
        <v>60</v>
      </c>
      <c r="F73" s="26">
        <v>50</v>
      </c>
      <c r="G73" s="18">
        <v>50</v>
      </c>
      <c r="H73" s="18">
        <v>315</v>
      </c>
      <c r="I73" s="18">
        <v>0</v>
      </c>
      <c r="J73" s="14">
        <v>0</v>
      </c>
      <c r="K73">
        <f t="shared" si="34"/>
        <v>0.1</v>
      </c>
      <c r="L73">
        <f t="shared" si="35"/>
        <v>8.3333333333333329E-2</v>
      </c>
      <c r="M73">
        <f t="shared" si="36"/>
        <v>8.3333333333333329E-2</v>
      </c>
      <c r="N73">
        <f t="shared" si="37"/>
        <v>0.52500000000000002</v>
      </c>
      <c r="O73">
        <f t="shared" si="38"/>
        <v>0</v>
      </c>
      <c r="P73">
        <f t="shared" si="39"/>
        <v>0</v>
      </c>
    </row>
    <row r="74" spans="1:21" x14ac:dyDescent="0.3">
      <c r="A74" t="s">
        <v>38</v>
      </c>
      <c r="B74" s="28" t="s">
        <v>105</v>
      </c>
      <c r="C74" s="25">
        <f t="shared" si="40"/>
        <v>4350.6450000000004</v>
      </c>
      <c r="D74" s="27">
        <v>150000</v>
      </c>
      <c r="E74" s="12">
        <f t="shared" si="41"/>
        <v>75</v>
      </c>
      <c r="F74" s="26">
        <v>40</v>
      </c>
      <c r="G74" s="18">
        <v>50</v>
      </c>
      <c r="H74" s="18">
        <v>390</v>
      </c>
      <c r="I74" s="18">
        <v>0</v>
      </c>
      <c r="J74" s="14">
        <v>0</v>
      </c>
      <c r="K74">
        <f t="shared" si="34"/>
        <v>0.125</v>
      </c>
      <c r="L74">
        <f t="shared" si="35"/>
        <v>6.6666666666666666E-2</v>
      </c>
      <c r="M74">
        <f t="shared" si="36"/>
        <v>8.3333333333333329E-2</v>
      </c>
      <c r="N74">
        <f t="shared" si="37"/>
        <v>0.65</v>
      </c>
      <c r="O74">
        <f t="shared" si="38"/>
        <v>0</v>
      </c>
      <c r="P74">
        <f t="shared" si="39"/>
        <v>0</v>
      </c>
      <c r="T74" t="s">
        <v>95</v>
      </c>
      <c r="U74" t="s">
        <v>96</v>
      </c>
    </row>
    <row r="75" spans="1:21" x14ac:dyDescent="0.3">
      <c r="A75" t="s">
        <v>38</v>
      </c>
      <c r="B75" s="28" t="s">
        <v>106</v>
      </c>
      <c r="C75" s="25">
        <f t="shared" si="40"/>
        <v>2900.4300000000003</v>
      </c>
      <c r="D75" s="27">
        <v>100000</v>
      </c>
      <c r="E75" s="12">
        <v>120</v>
      </c>
      <c r="F75" s="9">
        <f>D75/E75/G75</f>
        <v>104.16666666666667</v>
      </c>
      <c r="G75" s="18">
        <v>8</v>
      </c>
      <c r="H75" s="18">
        <v>355</v>
      </c>
      <c r="I75" s="18">
        <v>80</v>
      </c>
      <c r="J75" s="14">
        <v>-16</v>
      </c>
      <c r="K75">
        <f t="shared" si="34"/>
        <v>0.2</v>
      </c>
      <c r="L75">
        <f t="shared" si="35"/>
        <v>0.17361111111111113</v>
      </c>
      <c r="M75">
        <f t="shared" si="36"/>
        <v>1.3333333333333334E-2</v>
      </c>
      <c r="N75">
        <f t="shared" si="37"/>
        <v>0.59166666666666667</v>
      </c>
      <c r="O75">
        <f t="shared" si="38"/>
        <v>0.13333333333333333</v>
      </c>
      <c r="P75">
        <f t="shared" si="39"/>
        <v>-2.6666666666666668E-2</v>
      </c>
      <c r="T75" t="s">
        <v>95</v>
      </c>
      <c r="U75" t="s">
        <v>96</v>
      </c>
    </row>
    <row r="76" spans="1:21" x14ac:dyDescent="0.3">
      <c r="A76" t="s">
        <v>38</v>
      </c>
      <c r="B76" s="28" t="s">
        <v>107</v>
      </c>
      <c r="C76" s="25">
        <f>D76*0.004329*6.7</f>
        <v>2900.4300000000003</v>
      </c>
      <c r="D76" s="27">
        <v>100000</v>
      </c>
      <c r="E76" s="12">
        <v>120</v>
      </c>
      <c r="F76" s="9">
        <f>D76/E76/G76</f>
        <v>104.16666666666667</v>
      </c>
      <c r="G76" s="18">
        <v>8</v>
      </c>
      <c r="H76" s="18">
        <v>355</v>
      </c>
      <c r="I76" s="18">
        <v>-80</v>
      </c>
      <c r="J76" s="14">
        <v>-16</v>
      </c>
      <c r="K76">
        <f t="shared" si="34"/>
        <v>0.2</v>
      </c>
      <c r="L76">
        <f t="shared" si="35"/>
        <v>0.17361111111111113</v>
      </c>
      <c r="M76">
        <f t="shared" si="36"/>
        <v>1.3333333333333334E-2</v>
      </c>
      <c r="N76">
        <f t="shared" si="37"/>
        <v>0.59166666666666667</v>
      </c>
      <c r="O76">
        <f t="shared" si="38"/>
        <v>-0.13333333333333333</v>
      </c>
      <c r="P76">
        <f t="shared" si="39"/>
        <v>-2.6666666666666668E-2</v>
      </c>
    </row>
    <row r="77" spans="1:21" x14ac:dyDescent="0.3">
      <c r="B77" s="28" t="s">
        <v>120</v>
      </c>
      <c r="C77" s="25">
        <f>C72*$T$52</f>
        <v>362.55375000000004</v>
      </c>
      <c r="D77" s="27">
        <v>125000</v>
      </c>
      <c r="E77">
        <f>D77/F77/G77</f>
        <v>62.5</v>
      </c>
      <c r="F77" s="26">
        <f>F72</f>
        <v>40</v>
      </c>
      <c r="G77" s="18">
        <v>50</v>
      </c>
      <c r="H77" s="18">
        <v>250</v>
      </c>
      <c r="I77" s="18">
        <v>0</v>
      </c>
      <c r="J77" s="14">
        <v>0</v>
      </c>
      <c r="K77">
        <f>E77/$T$3</f>
        <v>0.10416666666666667</v>
      </c>
      <c r="L77">
        <f>F77/$T$3</f>
        <v>6.6666666666666666E-2</v>
      </c>
      <c r="M77">
        <f>G77/$T$3</f>
        <v>8.3333333333333329E-2</v>
      </c>
      <c r="N77">
        <f>H77/$T$3</f>
        <v>0.41666666666666669</v>
      </c>
      <c r="O77">
        <f>I77/$T$3</f>
        <v>0</v>
      </c>
      <c r="P77">
        <f>J77/$T$3</f>
        <v>0</v>
      </c>
    </row>
    <row r="78" spans="1:21" x14ac:dyDescent="0.3">
      <c r="B78" s="28" t="s">
        <v>121</v>
      </c>
      <c r="C78" s="25">
        <f>C73*$T$52</f>
        <v>435.06450000000007</v>
      </c>
      <c r="D78" s="27">
        <v>150000</v>
      </c>
      <c r="E78" s="12">
        <f t="shared" ref="E78:E79" si="42">D78/F78/G78</f>
        <v>60</v>
      </c>
      <c r="F78" s="26">
        <f t="shared" ref="F78:F86" si="43">F73</f>
        <v>50</v>
      </c>
      <c r="G78" s="18">
        <v>50</v>
      </c>
      <c r="H78" s="18">
        <v>315</v>
      </c>
      <c r="I78" s="18">
        <v>0</v>
      </c>
      <c r="J78" s="14">
        <v>0</v>
      </c>
      <c r="K78">
        <f>E78/$T$3</f>
        <v>0.1</v>
      </c>
      <c r="L78">
        <f>F78/$T$3</f>
        <v>8.3333333333333329E-2</v>
      </c>
      <c r="M78">
        <f>G78/$T$3</f>
        <v>8.3333333333333329E-2</v>
      </c>
      <c r="N78">
        <f>H78/$T$3</f>
        <v>0.52500000000000002</v>
      </c>
      <c r="O78">
        <f>I78/$T$3</f>
        <v>0</v>
      </c>
      <c r="P78">
        <f>J78/$T$3</f>
        <v>0</v>
      </c>
    </row>
    <row r="79" spans="1:21" x14ac:dyDescent="0.3">
      <c r="B79" s="28" t="s">
        <v>122</v>
      </c>
      <c r="C79" s="25">
        <f>C74*$T$52</f>
        <v>435.06450000000007</v>
      </c>
      <c r="D79" s="27">
        <v>150000</v>
      </c>
      <c r="E79" s="12">
        <f t="shared" si="42"/>
        <v>75</v>
      </c>
      <c r="F79" s="26">
        <f t="shared" si="43"/>
        <v>40</v>
      </c>
      <c r="G79" s="18">
        <v>50</v>
      </c>
      <c r="H79" s="18">
        <v>390</v>
      </c>
      <c r="I79" s="18">
        <v>0</v>
      </c>
      <c r="J79" s="14">
        <v>0</v>
      </c>
      <c r="K79">
        <f>E79/$T$3</f>
        <v>0.125</v>
      </c>
      <c r="L79">
        <f>F79/$T$3</f>
        <v>6.6666666666666666E-2</v>
      </c>
      <c r="M79">
        <f>G79/$T$3</f>
        <v>8.3333333333333329E-2</v>
      </c>
      <c r="N79">
        <f>H79/$T$3</f>
        <v>0.65</v>
      </c>
      <c r="O79">
        <f>I79/$T$3</f>
        <v>0</v>
      </c>
      <c r="P79">
        <f>J79/$T$3</f>
        <v>0</v>
      </c>
    </row>
    <row r="80" spans="1:21" x14ac:dyDescent="0.3">
      <c r="B80" s="28" t="s">
        <v>125</v>
      </c>
      <c r="C80" s="25">
        <f>C75*$T$52</f>
        <v>290.04300000000006</v>
      </c>
      <c r="D80" s="27">
        <v>100000</v>
      </c>
      <c r="E80" s="12">
        <v>120</v>
      </c>
      <c r="F80" s="26">
        <f t="shared" si="43"/>
        <v>104.16666666666667</v>
      </c>
      <c r="G80" s="18">
        <v>8</v>
      </c>
      <c r="H80" s="18">
        <v>355</v>
      </c>
      <c r="I80" s="18">
        <v>80</v>
      </c>
      <c r="J80" s="14">
        <v>-16</v>
      </c>
      <c r="K80">
        <f>E80/$T$3</f>
        <v>0.2</v>
      </c>
      <c r="L80">
        <f>F80/$T$3</f>
        <v>0.17361111111111113</v>
      </c>
      <c r="M80">
        <f>G80/$T$3</f>
        <v>1.3333333333333334E-2</v>
      </c>
      <c r="N80">
        <f>H80/$T$3</f>
        <v>0.59166666666666667</v>
      </c>
      <c r="O80">
        <f>I80/$T$3</f>
        <v>0.13333333333333333</v>
      </c>
      <c r="P80">
        <f>J80/$T$3</f>
        <v>-2.6666666666666668E-2</v>
      </c>
    </row>
    <row r="81" spans="1:16" x14ac:dyDescent="0.3">
      <c r="B81" s="28" t="s">
        <v>126</v>
      </c>
      <c r="C81" s="25">
        <f>C76*$T$52</f>
        <v>290.04300000000006</v>
      </c>
      <c r="D81" s="27">
        <v>100000</v>
      </c>
      <c r="E81" s="12">
        <v>120</v>
      </c>
      <c r="F81" s="26">
        <f t="shared" si="43"/>
        <v>104.16666666666667</v>
      </c>
      <c r="G81" s="18">
        <v>8</v>
      </c>
      <c r="H81" s="18">
        <v>355</v>
      </c>
      <c r="I81" s="18">
        <v>-80</v>
      </c>
      <c r="J81" s="14">
        <v>-16</v>
      </c>
      <c r="K81">
        <f>E81/$T$3</f>
        <v>0.2</v>
      </c>
      <c r="L81">
        <f>F81/$T$3</f>
        <v>0.17361111111111113</v>
      </c>
      <c r="M81">
        <f>G81/$T$3</f>
        <v>1.3333333333333334E-2</v>
      </c>
      <c r="N81">
        <f>H81/$T$3</f>
        <v>0.59166666666666667</v>
      </c>
      <c r="O81">
        <f>I81/$T$3</f>
        <v>-0.13333333333333333</v>
      </c>
      <c r="P81">
        <f>J81/$T$3</f>
        <v>-2.6666666666666668E-2</v>
      </c>
    </row>
    <row r="82" spans="1:16" x14ac:dyDescent="0.3">
      <c r="B82" s="28" t="s">
        <v>108</v>
      </c>
      <c r="C82" s="25">
        <f>C72*$T$53</f>
        <v>217.53224999999998</v>
      </c>
      <c r="D82" s="27">
        <v>125000</v>
      </c>
      <c r="E82">
        <f>D82/F82/G82</f>
        <v>62.5</v>
      </c>
      <c r="F82" s="26">
        <f t="shared" si="43"/>
        <v>40</v>
      </c>
      <c r="G82" s="18">
        <v>50</v>
      </c>
      <c r="H82" s="18">
        <v>250</v>
      </c>
      <c r="I82" s="18">
        <v>0</v>
      </c>
      <c r="J82" s="14">
        <v>0</v>
      </c>
      <c r="K82">
        <f>E82/$T$3</f>
        <v>0.10416666666666667</v>
      </c>
      <c r="L82">
        <f>F82/$T$3</f>
        <v>6.6666666666666666E-2</v>
      </c>
      <c r="M82">
        <f>G82/$T$3</f>
        <v>8.3333333333333329E-2</v>
      </c>
      <c r="N82">
        <f>H82/$T$3</f>
        <v>0.41666666666666669</v>
      </c>
      <c r="O82">
        <f>I82/$T$3</f>
        <v>0</v>
      </c>
      <c r="P82">
        <f>J82/$T$3</f>
        <v>0</v>
      </c>
    </row>
    <row r="83" spans="1:16" x14ac:dyDescent="0.3">
      <c r="B83" s="28" t="s">
        <v>109</v>
      </c>
      <c r="C83" s="25">
        <f t="shared" ref="C83:C86" si="44">C73*$T$53</f>
        <v>261.03870000000001</v>
      </c>
      <c r="D83" s="27">
        <v>150000</v>
      </c>
      <c r="E83" s="12">
        <f t="shared" ref="E83:E84" si="45">D83/F83/G83</f>
        <v>60</v>
      </c>
      <c r="F83" s="26">
        <f t="shared" si="43"/>
        <v>50</v>
      </c>
      <c r="G83" s="18">
        <v>50</v>
      </c>
      <c r="H83" s="18">
        <v>315</v>
      </c>
      <c r="I83" s="18">
        <v>0</v>
      </c>
      <c r="J83" s="14">
        <v>0</v>
      </c>
      <c r="K83">
        <f>E83/$T$3</f>
        <v>0.1</v>
      </c>
      <c r="L83">
        <f>F83/$T$3</f>
        <v>8.3333333333333329E-2</v>
      </c>
      <c r="M83">
        <f>G83/$T$3</f>
        <v>8.3333333333333329E-2</v>
      </c>
      <c r="N83">
        <f>H83/$T$3</f>
        <v>0.52500000000000002</v>
      </c>
      <c r="O83">
        <f>I83/$T$3</f>
        <v>0</v>
      </c>
      <c r="P83">
        <f>J83/$T$3</f>
        <v>0</v>
      </c>
    </row>
    <row r="84" spans="1:16" x14ac:dyDescent="0.3">
      <c r="B84" s="28" t="s">
        <v>110</v>
      </c>
      <c r="C84" s="25">
        <f t="shared" si="44"/>
        <v>261.03870000000001</v>
      </c>
      <c r="D84" s="27">
        <v>150000</v>
      </c>
      <c r="E84" s="12">
        <f t="shared" si="45"/>
        <v>75</v>
      </c>
      <c r="F84" s="26">
        <f t="shared" si="43"/>
        <v>40</v>
      </c>
      <c r="G84" s="18">
        <v>50</v>
      </c>
      <c r="H84" s="18">
        <v>390</v>
      </c>
      <c r="I84" s="18">
        <v>0</v>
      </c>
      <c r="J84" s="14">
        <v>0</v>
      </c>
      <c r="K84">
        <f>E84/$T$3</f>
        <v>0.125</v>
      </c>
      <c r="L84">
        <f>F84/$T$3</f>
        <v>6.6666666666666666E-2</v>
      </c>
      <c r="M84">
        <f>G84/$T$3</f>
        <v>8.3333333333333329E-2</v>
      </c>
      <c r="N84">
        <f>H84/$T$3</f>
        <v>0.65</v>
      </c>
      <c r="O84">
        <f>I84/$T$3</f>
        <v>0</v>
      </c>
      <c r="P84">
        <f>J84/$T$3</f>
        <v>0</v>
      </c>
    </row>
    <row r="85" spans="1:16" x14ac:dyDescent="0.3">
      <c r="B85" s="28" t="s">
        <v>111</v>
      </c>
      <c r="C85" s="25">
        <f t="shared" si="44"/>
        <v>174.0258</v>
      </c>
      <c r="D85" s="27">
        <v>100000</v>
      </c>
      <c r="E85" s="12">
        <v>120</v>
      </c>
      <c r="F85" s="26">
        <f t="shared" si="43"/>
        <v>104.16666666666667</v>
      </c>
      <c r="G85" s="18">
        <v>8</v>
      </c>
      <c r="H85" s="18">
        <v>355</v>
      </c>
      <c r="I85" s="18">
        <v>80</v>
      </c>
      <c r="J85" s="14">
        <v>-16</v>
      </c>
      <c r="K85">
        <f>E85/$T$3</f>
        <v>0.2</v>
      </c>
      <c r="L85">
        <f>F85/$T$3</f>
        <v>0.17361111111111113</v>
      </c>
      <c r="M85">
        <f>G85/$T$3</f>
        <v>1.3333333333333334E-2</v>
      </c>
      <c r="N85">
        <f>H85/$T$3</f>
        <v>0.59166666666666667</v>
      </c>
      <c r="O85">
        <f>I85/$T$3</f>
        <v>0.13333333333333333</v>
      </c>
      <c r="P85">
        <f>J85/$T$3</f>
        <v>-2.6666666666666668E-2</v>
      </c>
    </row>
    <row r="86" spans="1:16" x14ac:dyDescent="0.3">
      <c r="B86" s="28" t="s">
        <v>112</v>
      </c>
      <c r="C86" s="25">
        <f t="shared" si="44"/>
        <v>174.0258</v>
      </c>
      <c r="D86" s="27">
        <v>100000</v>
      </c>
      <c r="E86" s="12">
        <v>120</v>
      </c>
      <c r="F86" s="26">
        <f t="shared" si="43"/>
        <v>104.16666666666667</v>
      </c>
      <c r="G86" s="18">
        <v>8</v>
      </c>
      <c r="H86" s="18">
        <v>355</v>
      </c>
      <c r="I86" s="18">
        <v>-80</v>
      </c>
      <c r="J86" s="14">
        <v>-16</v>
      </c>
      <c r="K86">
        <f>E86/$T$3</f>
        <v>0.2</v>
      </c>
      <c r="L86">
        <f>F86/$T$3</f>
        <v>0.17361111111111113</v>
      </c>
      <c r="M86">
        <f>G86/$T$3</f>
        <v>1.3333333333333334E-2</v>
      </c>
      <c r="N86">
        <f>H86/$T$3</f>
        <v>0.59166666666666667</v>
      </c>
      <c r="O86">
        <f>I86/$T$3</f>
        <v>-0.13333333333333333</v>
      </c>
      <c r="P86">
        <f>J86/$T$3</f>
        <v>-2.6666666666666668E-2</v>
      </c>
    </row>
    <row r="87" spans="1:16" x14ac:dyDescent="0.3">
      <c r="A87" t="s">
        <v>53</v>
      </c>
      <c r="B87" s="23" t="s">
        <v>113</v>
      </c>
      <c r="C87">
        <v>7056</v>
      </c>
      <c r="D87">
        <f>E87*F87*G87</f>
        <v>1.0000000000000001E-9</v>
      </c>
      <c r="E87">
        <v>1E-3</v>
      </c>
      <c r="F87">
        <v>1E-3</v>
      </c>
      <c r="G87">
        <v>1E-3</v>
      </c>
      <c r="H87" s="18">
        <v>300</v>
      </c>
      <c r="I87" s="18">
        <v>0</v>
      </c>
      <c r="J87" s="14">
        <v>0</v>
      </c>
      <c r="K87">
        <f t="shared" si="34"/>
        <v>1.6666666666666667E-6</v>
      </c>
      <c r="L87">
        <f t="shared" si="35"/>
        <v>1.6666666666666667E-6</v>
      </c>
      <c r="M87">
        <f t="shared" si="36"/>
        <v>1.6666666666666667E-6</v>
      </c>
      <c r="N87">
        <f t="shared" si="37"/>
        <v>0.5</v>
      </c>
      <c r="O87">
        <f t="shared" si="38"/>
        <v>0</v>
      </c>
      <c r="P87">
        <f t="shared" si="39"/>
        <v>0</v>
      </c>
    </row>
    <row r="88" spans="1:16" x14ac:dyDescent="0.3">
      <c r="A88" t="s">
        <v>53</v>
      </c>
      <c r="B88" s="23" t="s">
        <v>114</v>
      </c>
      <c r="C88">
        <v>5132</v>
      </c>
      <c r="D88">
        <f t="shared" ref="D88:D90" si="46">E88*F88*G88</f>
        <v>1.0000000000000001E-9</v>
      </c>
      <c r="E88">
        <v>1E-3</v>
      </c>
      <c r="F88">
        <v>1E-3</v>
      </c>
      <c r="G88">
        <v>1E-3</v>
      </c>
      <c r="H88" s="18">
        <v>372.5</v>
      </c>
      <c r="I88" s="18">
        <v>0</v>
      </c>
      <c r="J88" s="14">
        <v>-15</v>
      </c>
      <c r="K88">
        <f t="shared" si="34"/>
        <v>1.6666666666666667E-6</v>
      </c>
      <c r="L88">
        <f t="shared" si="35"/>
        <v>1.6666666666666667E-6</v>
      </c>
      <c r="M88">
        <f t="shared" si="36"/>
        <v>1.6666666666666667E-6</v>
      </c>
      <c r="N88">
        <f t="shared" si="37"/>
        <v>0.62083333333333335</v>
      </c>
      <c r="O88">
        <f t="shared" si="38"/>
        <v>0</v>
      </c>
      <c r="P88">
        <f t="shared" si="39"/>
        <v>-2.5000000000000001E-2</v>
      </c>
    </row>
    <row r="89" spans="1:16" x14ac:dyDescent="0.3">
      <c r="A89" t="s">
        <v>53</v>
      </c>
      <c r="B89" s="23" t="s">
        <v>115</v>
      </c>
      <c r="C89">
        <v>271</v>
      </c>
      <c r="D89">
        <f t="shared" si="46"/>
        <v>1.0000000000000001E-9</v>
      </c>
      <c r="E89">
        <v>1E-3</v>
      </c>
      <c r="F89">
        <v>1E-3</v>
      </c>
      <c r="G89">
        <v>1E-3</v>
      </c>
      <c r="H89" s="18">
        <v>572.5</v>
      </c>
      <c r="I89" s="18">
        <v>0</v>
      </c>
      <c r="J89">
        <v>-1</v>
      </c>
      <c r="K89">
        <f t="shared" si="34"/>
        <v>1.6666666666666667E-6</v>
      </c>
      <c r="L89">
        <f t="shared" si="35"/>
        <v>1.6666666666666667E-6</v>
      </c>
      <c r="M89">
        <f t="shared" si="36"/>
        <v>1.6666666666666667E-6</v>
      </c>
      <c r="N89">
        <f t="shared" si="37"/>
        <v>0.95416666666666672</v>
      </c>
      <c r="O89">
        <f t="shared" si="38"/>
        <v>0</v>
      </c>
      <c r="P89">
        <f t="shared" si="39"/>
        <v>-1.6666666666666668E-3</v>
      </c>
    </row>
    <row r="90" spans="1:16" x14ac:dyDescent="0.3">
      <c r="A90" t="s">
        <v>53</v>
      </c>
      <c r="B90" s="23" t="s">
        <v>116</v>
      </c>
      <c r="C90">
        <v>132</v>
      </c>
      <c r="D90">
        <f t="shared" si="46"/>
        <v>1.0000000000000001E-9</v>
      </c>
      <c r="E90">
        <v>1E-3</v>
      </c>
      <c r="F90">
        <v>1E-3</v>
      </c>
      <c r="G90">
        <v>1E-3</v>
      </c>
      <c r="H90">
        <v>550</v>
      </c>
      <c r="I90">
        <v>0</v>
      </c>
      <c r="J90">
        <v>-40</v>
      </c>
      <c r="K90">
        <f t="shared" si="34"/>
        <v>1.6666666666666667E-6</v>
      </c>
      <c r="L90">
        <f t="shared" si="35"/>
        <v>1.6666666666666667E-6</v>
      </c>
      <c r="M90">
        <f t="shared" si="36"/>
        <v>1.6666666666666667E-6</v>
      </c>
      <c r="N90">
        <f t="shared" si="37"/>
        <v>0.91666666666666663</v>
      </c>
      <c r="O90">
        <f t="shared" si="38"/>
        <v>0</v>
      </c>
      <c r="P90">
        <f t="shared" si="39"/>
        <v>-6.6666666666666666E-2</v>
      </c>
    </row>
    <row r="93" spans="1:16" x14ac:dyDescent="0.3">
      <c r="B93" s="23" t="s">
        <v>117</v>
      </c>
      <c r="C93">
        <f>SUM(C72:C76)-SUM(C77:C81)+(C27-C26)*2</f>
        <v>22202.918749999997</v>
      </c>
    </row>
    <row r="94" spans="1:16" x14ac:dyDescent="0.3">
      <c r="B94" s="23" t="s">
        <v>118</v>
      </c>
      <c r="C94" s="29">
        <f>SUM(C72:C76)-SUM(C77:C81)</f>
        <v>16314.918749999999</v>
      </c>
    </row>
  </sheetData>
  <mergeCells count="2">
    <mergeCell ref="E1:J1"/>
    <mergeCell ref="K1:P1"/>
  </mergeCells>
  <dataValidations count="1">
    <dataValidation type="list" allowBlank="1" showInputMessage="1" showErrorMessage="1" sqref="A87:A93 A3:A81" xr:uid="{6182BFE5-435E-44CB-9315-0DCF1D7AEBE5}">
      <formula1>$U$9:$U$30</formula1>
    </dataValidation>
  </dataValidations>
  <hyperlinks>
    <hyperlink ref="B63" r:id="rId1" xr:uid="{4D16D409-2223-49FD-92E6-26B7BF68BF8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c3216087295b7791c674300cc1f9ce9a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c060c8d9ee5cdacba93ac7fafe11be2a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04DD06-8BCF-40A7-B574-2D5171CAA3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4FE582-F40A-49A3-B6CF-1B6C5E532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EBEF2E-CB38-4C54-A96B-FD692677907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f38bd768-81b4-450c-b73d-1a8fa3ba272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Xu, Kevin</dc:creator>
  <cp:keywords/>
  <dc:description/>
  <cp:lastModifiedBy>Xu, Kevin</cp:lastModifiedBy>
  <cp:revision/>
  <dcterms:created xsi:type="dcterms:W3CDTF">2026-03-16T02:14:59Z</dcterms:created>
  <dcterms:modified xsi:type="dcterms:W3CDTF">2026-04-07T21:11:31Z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