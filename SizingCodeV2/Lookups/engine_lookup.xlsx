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file\Documents\MyDocuments\CODING\GitWorkingDirectory\team10aiaa\SizingCodeV2\Lookups\"/>
    </mc:Choice>
  </mc:AlternateContent>
  <xr:revisionPtr revIDLastSave="0" documentId="13_ncr:1_{97404404-1BB8-4FCB-B95B-F64C210BB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J7" i="1"/>
  <c r="J6" i="1"/>
  <c r="J5" i="1"/>
  <c r="J2" i="1"/>
</calcChain>
</file>

<file path=xl/sharedStrings.xml><?xml version="1.0" encoding="utf-8"?>
<sst xmlns="http://schemas.openxmlformats.org/spreadsheetml/2006/main" count="17" uniqueCount="17">
  <si>
    <t>F404</t>
  </si>
  <si>
    <t>F135</t>
  </si>
  <si>
    <t>F414</t>
  </si>
  <si>
    <t>F100</t>
  </si>
  <si>
    <t>F110</t>
  </si>
  <si>
    <t>engine_name</t>
  </si>
  <si>
    <t>h0_maxThrust_AB</t>
  </si>
  <si>
    <t>prc_compressor</t>
  </si>
  <si>
    <t>prc_fan</t>
  </si>
  <si>
    <t>bypass_ratio</t>
  </si>
  <si>
    <t>T04</t>
  </si>
  <si>
    <t>QR</t>
  </si>
  <si>
    <t>h0_maxThrust_NoAB</t>
  </si>
  <si>
    <t>H20</t>
  </si>
  <si>
    <t>weight</t>
  </si>
  <si>
    <t>diameter</t>
  </si>
  <si>
    <t>Cost_mil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</si>
</sst>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5" sqref="C5"/>
    </sheetView>
  </sheetViews>
  <sheetFormatPr defaultRowHeight="14.4" x14ac:dyDescent="0.3"/>
  <cols>
    <col min="1" max="1" width="14.5546875" customWidth="1"/>
    <col min="2" max="2" width="25.5546875" customWidth="1"/>
    <col min="3" max="4" width="23.44140625" customWidth="1"/>
    <col min="9" max="9" width="12.33203125" customWidth="1"/>
    <col min="10" max="10" width="12.5546875" bestFit="1" customWidth="1"/>
  </cols>
  <sheetData>
    <row r="1" spans="1:11" x14ac:dyDescent="0.3">
      <c r="A1" t="s">
        <v>5</v>
      </c>
      <c r="B1" t="s">
        <v>12</v>
      </c>
      <c r="C1" t="s">
        <v>6</v>
      </c>
      <c r="D1" t="s">
        <v>16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14</v>
      </c>
      <c r="K1" t="s">
        <v>15</v>
      </c>
    </row>
    <row r="2" spans="1:11" x14ac:dyDescent="0.3">
      <c r="A2" t="s">
        <v>0</v>
      </c>
      <c r="B2">
        <v>48900</v>
      </c>
      <c r="C2">
        <v>78700</v>
      </c>
      <c r="D2" s="3"/>
      <c r="E2">
        <v>26</v>
      </c>
      <c r="F2">
        <v>1</v>
      </c>
      <c r="G2">
        <v>0.34</v>
      </c>
      <c r="H2">
        <v>1700</v>
      </c>
      <c r="I2" s="1">
        <v>45000000</v>
      </c>
      <c r="J2" s="2">
        <f>1035*9.805</f>
        <v>10148.174999999999</v>
      </c>
      <c r="K2">
        <v>0.89</v>
      </c>
    </row>
    <row r="3" spans="1:11" x14ac:dyDescent="0.3">
      <c r="A3" t="s">
        <v>1</v>
      </c>
      <c r="B3">
        <v>125000</v>
      </c>
      <c r="C3">
        <v>191000</v>
      </c>
      <c r="D3" s="3"/>
      <c r="E3">
        <v>28</v>
      </c>
      <c r="F3">
        <v>1</v>
      </c>
      <c r="G3">
        <v>0.56999999999999995</v>
      </c>
      <c r="H3">
        <v>1700</v>
      </c>
      <c r="I3" s="1">
        <v>45000000</v>
      </c>
      <c r="J3" s="2">
        <v>26330</v>
      </c>
      <c r="K3">
        <v>1.17</v>
      </c>
    </row>
    <row r="4" spans="1:11" x14ac:dyDescent="0.3">
      <c r="A4" t="s">
        <v>2</v>
      </c>
      <c r="B4">
        <v>61932.589336800003</v>
      </c>
      <c r="C4">
        <v>92207.185546399996</v>
      </c>
      <c r="D4" s="3">
        <v>4.8600000000000003</v>
      </c>
      <c r="E4">
        <v>30</v>
      </c>
      <c r="F4">
        <v>1</v>
      </c>
      <c r="G4">
        <v>0.25</v>
      </c>
      <c r="H4">
        <v>1700</v>
      </c>
      <c r="I4" s="1">
        <v>45000000</v>
      </c>
      <c r="J4" s="2">
        <v>10045</v>
      </c>
      <c r="K4">
        <v>0.89</v>
      </c>
    </row>
    <row r="5" spans="1:11" x14ac:dyDescent="0.3">
      <c r="A5" t="s">
        <v>3</v>
      </c>
      <c r="B5">
        <v>79100</v>
      </c>
      <c r="C5">
        <v>129600</v>
      </c>
      <c r="D5" s="3">
        <f>6948900/1000000</f>
        <v>6.9489000000000001</v>
      </c>
      <c r="E5">
        <v>32</v>
      </c>
      <c r="F5">
        <v>1</v>
      </c>
      <c r="G5">
        <v>0.35</v>
      </c>
      <c r="H5">
        <v>1700</v>
      </c>
      <c r="I5" s="1">
        <v>45000000</v>
      </c>
      <c r="J5" s="2">
        <f>1377*9.805</f>
        <v>13501.484999999999</v>
      </c>
      <c r="K5">
        <v>0.88</v>
      </c>
    </row>
    <row r="6" spans="1:11" x14ac:dyDescent="0.3">
      <c r="A6" t="s">
        <v>4</v>
      </c>
      <c r="B6">
        <v>84500</v>
      </c>
      <c r="C6">
        <v>144600</v>
      </c>
      <c r="D6" s="3">
        <f>4.86*1.2</f>
        <v>5.8319999999999999</v>
      </c>
      <c r="E6">
        <v>30.4</v>
      </c>
      <c r="F6">
        <v>1</v>
      </c>
      <c r="G6">
        <v>0.61</v>
      </c>
      <c r="H6">
        <v>1700</v>
      </c>
      <c r="I6" s="1">
        <v>45000000</v>
      </c>
      <c r="J6" s="2">
        <f>1740*9.805</f>
        <v>17060.7</v>
      </c>
      <c r="K6">
        <v>0.90600000000000003</v>
      </c>
    </row>
    <row r="7" spans="1:11" x14ac:dyDescent="0.3">
      <c r="A7" t="s">
        <v>13</v>
      </c>
      <c r="B7">
        <v>220</v>
      </c>
      <c r="C7">
        <v>480</v>
      </c>
      <c r="D7" s="3"/>
      <c r="E7">
        <v>3</v>
      </c>
      <c r="F7">
        <v>1</v>
      </c>
      <c r="G7">
        <v>0.1</v>
      </c>
      <c r="H7">
        <v>1700</v>
      </c>
      <c r="I7" s="1">
        <v>45000000</v>
      </c>
      <c r="J7" s="2">
        <f>1.65*9.805</f>
        <v>16.178249999999998</v>
      </c>
      <c r="K7">
        <v>0.111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Filer</dc:creator>
  <cp:lastModifiedBy>Filer, Jeffrey</cp:lastModifiedBy>
  <dcterms:created xsi:type="dcterms:W3CDTF">2015-06-05T18:17:20Z</dcterms:created>
  <dcterms:modified xsi:type="dcterms:W3CDTF">2026-02-25T19:10:10Z</dcterms:modified>
</cp:coreProperties>
</file>